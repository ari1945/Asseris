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6.xml" ContentType="application/vnd.openxmlformats-officedocument.spreadsheetml.worksheet+xml"/>
  <Override PartName="/xl/worksheets/sheet37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6.xml" ContentType="application/vnd.openxmlformats-officedocument.spreadsheetml.worksheet+xml"/>
  <Override PartName="/xl/worksheets/sheet38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DEX KKA" sheetId="2" state="visible" r:id="rId4"/>
    <sheet name="A0 - Acceptance" sheetId="3" state="visible" r:id="rId5"/>
    <sheet name="IND - Independensi" sheetId="4" state="visible" r:id="rId6"/>
    <sheet name="P0 - Pemahaman Entitas" sheetId="5" state="visible" r:id="rId7"/>
    <sheet name="P1 - Materialitas" sheetId="6" state="visible" r:id="rId8"/>
    <sheet name="P2 - Risiko" sheetId="7" state="visible" r:id="rId9"/>
    <sheet name="ICFR - Pengendalian Internal" sheetId="8" state="visible" r:id="rId10"/>
    <sheet name="P3 - Program" sheetId="9" state="visible" r:id="rId11"/>
    <sheet name="WTB" sheetId="10" state="visible" r:id="rId12"/>
    <sheet name="AJE" sheetId="11" state="visible" r:id="rId13"/>
    <sheet name="A - Kas &amp; Setara Kas" sheetId="12" state="visible" r:id="rId14"/>
    <sheet name="B - Piutang Usaha &amp; CKPN" sheetId="13" state="visible" r:id="rId15"/>
    <sheet name="C - Persediaan" sheetId="14" state="visible" r:id="rId16"/>
    <sheet name="D - Aset Tetap &amp; Takberwujud" sheetId="15" state="visible" r:id="rId17"/>
    <sheet name="E - Sewa Hak-Guna PSAK 73" sheetId="16" state="visible" r:id="rId18"/>
    <sheet name="F - Utang Usaha &amp; Akrual" sheetId="17" state="visible" r:id="rId19"/>
    <sheet name="G - Utang Bank &amp; Pinjaman" sheetId="18" state="visible" r:id="rId20"/>
    <sheet name="H - Perpajakan" sheetId="19" state="visible" r:id="rId21"/>
    <sheet name="I - Imbalan Kerja" sheetId="20" state="visible" r:id="rId22"/>
    <sheet name="J - Ekuitas" sheetId="21" state="visible" r:id="rId23"/>
    <sheet name="K - Pendapatan &amp; Beban" sheetId="22" state="visible" r:id="rId24"/>
    <sheet name="AR - Analitis" sheetId="23" state="visible" r:id="rId25"/>
    <sheet name="SMP - Sampling" sheetId="24" state="visible" r:id="rId26"/>
    <sheet name="JET - Jurnal" sheetId="25" state="visible" r:id="rId27"/>
    <sheet name="CONF - Konfirmasi" sheetId="26" state="visible" r:id="rId28"/>
    <sheet name="RPT - Pihak Berelasi" sheetId="27" state="visible" r:id="rId29"/>
    <sheet name="OB - Saldo Awal" sheetId="28" state="visible" r:id="rId30"/>
    <sheet name="SAD - Salah Saji" sheetId="29" state="visible" r:id="rId31"/>
    <sheet name="RVW - Reviu &amp; Penyelesaian" sheetId="30" state="visible" r:id="rId32"/>
    <sheet name="EQR - Reviu Mutu" sheetId="31" state="visible" r:id="rId33"/>
    <sheet name="GC - Going Concern" sheetId="32" state="visible" r:id="rId34"/>
    <sheet name="SUB - Peristiwa Kemudian" sheetId="33" state="visible" r:id="rId35"/>
    <sheet name="MRL - Representasi" sheetId="34" state="visible" r:id="rId36"/>
    <sheet name="TCWG - Komunikasi" sheetId="35" state="visible" r:id="rId37"/>
    <sheet name="CONC - Kesimpulan" sheetId="36" state="visible" r:id="rId38"/>
    <sheet name="ARCH - Arsip" sheetId="37" state="visible" r:id="rId39"/>
    <sheet name="REF - Standar SA" sheetId="38" state="visible" r:id="rId4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<sst xmlns="http://schemas.openxmlformats.org/spreadsheetml/2006/main" count="2333" uniqueCount="880">
  <si>
    <t xml:space="preserve">ASSERIS  ·  Kantor Akuntan Publik</t>
  </si>
  <si>
    <t xml:space="preserve">Registered Public Accountants</t>
  </si>
  <si>
    <t xml:space="preserve">KERTAS KERJA AUDIT (KKA)</t>
  </si>
  <si>
    <t xml:space="preserve">Audit Working Paper File — Audit Laporan Keuangan</t>
  </si>
  <si>
    <t xml:space="preserve">Nama Klien</t>
  </si>
  <si>
    <t xml:space="preserve">PT Sentosa Makmur Tbk</t>
  </si>
  <si>
    <t xml:space="preserve">NPWP</t>
  </si>
  <si>
    <t xml:space="preserve">01.234.567.8-045.000</t>
  </si>
  <si>
    <t xml:space="preserve">Perikatan / Engagement</t>
  </si>
  <si>
    <t xml:space="preserve">ENG-2025-014</t>
  </si>
  <si>
    <t xml:space="preserve">Periode Audit</t>
  </si>
  <si>
    <t xml:space="preserve">Tahun Buku Berakhir 31 Desember 2025</t>
  </si>
  <si>
    <t xml:space="preserve">Kerangka Pelaporan</t>
  </si>
  <si>
    <t xml:space="preserve">SAK (PSAK) — ISA-converged (SA / SPAP)</t>
  </si>
  <si>
    <t xml:space="preserve">Jenis Perikatan</t>
  </si>
  <si>
    <t xml:space="preserve">Audit Laporan Keuangan Statutory</t>
  </si>
  <si>
    <t xml:space="preserve">Partner Penanggung Jawab</t>
  </si>
  <si>
    <t xml:space="preserve">Hartono Wijaya, CPA</t>
  </si>
  <si>
    <t xml:space="preserve">Manajer Audit</t>
  </si>
  <si>
    <t xml:space="preserve">Anindya Pramesti, CPA</t>
  </si>
  <si>
    <t xml:space="preserve">Auditor Senior</t>
  </si>
  <si>
    <t xml:space="preserve">Dimas Raharja</t>
  </si>
  <si>
    <t xml:space="preserve">Tanggal Mulai</t>
  </si>
  <si>
    <t xml:space="preserve">____ / ____ / 20__</t>
  </si>
  <si>
    <t xml:space="preserve">Tanggal Selesai (Laporan)</t>
  </si>
  <si>
    <t xml:space="preserve">Status File</t>
  </si>
  <si>
    <t xml:space="preserve">☐ Draft   ☐ Direviu   ☐ Final/Arsip (locked)</t>
  </si>
  <si>
    <t xml:space="preserve">CATATAN KERAHASIAAN</t>
  </si>
  <si>
    <t xml:space="preserve">File ini rahasia, milik KAP, disusun sesuai SA 230 (Dokumentasi Audit). Akses terbatas pada tim perikatan, reviewer berjenjang (Senior → Manajer → Partner), EQR, dan inspeksi mutu. Lock &amp; arsip dalam 60 hari setelah tanggal laporan (ISQM 1).</t>
  </si>
  <si>
    <t xml:space="preserve">➜ Buka Daftar Indeks KKA (INDEX)</t>
  </si>
  <si>
    <t xml:space="preserve">Registered Public Accountants   ·   Izin Usaha KAP No. ___/KM.1/20__   ·   Anggota IAPI   ·   www.asseris.co.id</t>
  </si>
  <si>
    <t xml:space="preserve">PT Sentosa Makmur Tbk   —   Tahun Buku Berakhir 31 Desember 2025</t>
  </si>
  <si>
    <t xml:space="preserve">DAFTAR INDEKS KERTAS KERJA</t>
  </si>
  <si>
    <t xml:space="preserve">Indeks KKA: INDEX   ·   Standar: SA 230   ·   Fase: Semua</t>
  </si>
  <si>
    <t xml:space="preserve">Peta seluruh KKA mengikuti siklus audit Fase 0–5 (Asseris). Klik Ref untuk membuka sheet.</t>
  </si>
  <si>
    <t xml:space="preserve">Ref</t>
  </si>
  <si>
    <t xml:space="preserve">Nama Kertas Kerja</t>
  </si>
  <si>
    <t xml:space="preserve">Fase</t>
  </si>
  <si>
    <t xml:space="preserve">Standar SA</t>
  </si>
  <si>
    <t xml:space="preserve">Status</t>
  </si>
  <si>
    <t xml:space="preserve">Disusun</t>
  </si>
  <si>
    <t xml:space="preserve">Direviu</t>
  </si>
  <si>
    <t xml:space="preserve">Disetujui</t>
  </si>
  <si>
    <t xml:space="preserve">COVER</t>
  </si>
  <si>
    <t xml:space="preserve">Sampul &amp; Identitas Perikatan</t>
  </si>
  <si>
    <t xml:space="preserve">—</t>
  </si>
  <si>
    <t xml:space="preserve">SA 230</t>
  </si>
  <si>
    <t xml:space="preserve">Final</t>
  </si>
  <si>
    <t xml:space="preserve">DR</t>
  </si>
  <si>
    <t xml:space="preserve">AP</t>
  </si>
  <si>
    <t xml:space="preserve">HW</t>
  </si>
  <si>
    <t xml:space="preserve">A0</t>
  </si>
  <si>
    <t xml:space="preserve">Penerimaan &amp; Keberlanjutan</t>
  </si>
  <si>
    <t xml:space="preserve">0 · Acceptance</t>
  </si>
  <si>
    <t xml:space="preserve">SA 220 · ISQM 1 · SA 210</t>
  </si>
  <si>
    <t xml:space="preserve">Selesai</t>
  </si>
  <si>
    <t xml:space="preserve">IND</t>
  </si>
  <si>
    <t xml:space="preserve">Independensi &amp; Etika Profesi</t>
  </si>
  <si>
    <t xml:space="preserve">SA 220 · Kode Etik</t>
  </si>
  <si>
    <t xml:space="preserve">P0</t>
  </si>
  <si>
    <t xml:space="preserve">Pemahaman Entitas &amp; Lingkungan</t>
  </si>
  <si>
    <t xml:space="preserve">1 · Planning</t>
  </si>
  <si>
    <t xml:space="preserve">SA 315</t>
  </si>
  <si>
    <t xml:space="preserve">P1</t>
  </si>
  <si>
    <t xml:space="preserve">Materialitas</t>
  </si>
  <si>
    <t xml:space="preserve">SA 320</t>
  </si>
  <si>
    <t xml:space="preserve">P2</t>
  </si>
  <si>
    <t xml:space="preserve">Penilaian Risiko &amp; Respons</t>
  </si>
  <si>
    <t xml:space="preserve">SA 315 · SA 330 · SA 240</t>
  </si>
  <si>
    <t xml:space="preserve">ICFR</t>
  </si>
  <si>
    <t xml:space="preserve">Pengendalian Internal &amp; Walkthrough</t>
  </si>
  <si>
    <t xml:space="preserve">SA 315 · SA 330</t>
  </si>
  <si>
    <t xml:space="preserve">P3</t>
  </si>
  <si>
    <t xml:space="preserve">Strategi Audit &amp; Program</t>
  </si>
  <si>
    <t xml:space="preserve">SA 300</t>
  </si>
  <si>
    <t xml:space="preserve">WTB</t>
  </si>
  <si>
    <t xml:space="preserve">Working Trial Balance (Lead utama)</t>
  </si>
  <si>
    <t xml:space="preserve">2 · Fieldwork</t>
  </si>
  <si>
    <t xml:space="preserve">SA 230 · SA 330</t>
  </si>
  <si>
    <t xml:space="preserve">Berjalan</t>
  </si>
  <si>
    <t xml:space="preserve">AJE</t>
  </si>
  <si>
    <t xml:space="preserve">Jurnal Penyesuaian &amp; Reklas</t>
  </si>
  <si>
    <t xml:space="preserve">SA 450</t>
  </si>
  <si>
    <t xml:space="preserve">A</t>
  </si>
  <si>
    <t xml:space="preserve">Kas &amp; Setara Kas</t>
  </si>
  <si>
    <t xml:space="preserve">SA 500 · SA 505</t>
  </si>
  <si>
    <t xml:space="preserve">B</t>
  </si>
  <si>
    <t xml:space="preserve">Piutang Usaha &amp; CKPN</t>
  </si>
  <si>
    <t xml:space="preserve">SA 505 · SA 540 · PSAK 71</t>
  </si>
  <si>
    <t xml:space="preserve">C</t>
  </si>
  <si>
    <t xml:space="preserve">Persediaan</t>
  </si>
  <si>
    <t xml:space="preserve">SA 501</t>
  </si>
  <si>
    <t xml:space="preserve">D</t>
  </si>
  <si>
    <t xml:space="preserve">Aset Tetap &amp; Takberwujud</t>
  </si>
  <si>
    <t xml:space="preserve">SA 500 · PSAK 16/19</t>
  </si>
  <si>
    <t xml:space="preserve">E</t>
  </si>
  <si>
    <t xml:space="preserve">Sewa (Hak-Guna, PSAK 73)</t>
  </si>
  <si>
    <t xml:space="preserve">SA 540 · PSAK 73</t>
  </si>
  <si>
    <t xml:space="preserve">F</t>
  </si>
  <si>
    <t xml:space="preserve">Utang Usaha &amp; Akrual</t>
  </si>
  <si>
    <t xml:space="preserve">SA 505 · SUL</t>
  </si>
  <si>
    <t xml:space="preserve">G</t>
  </si>
  <si>
    <t xml:space="preserve">Utang Bank &amp; Pinjaman</t>
  </si>
  <si>
    <t xml:space="preserve">SA 505</t>
  </si>
  <si>
    <t xml:space="preserve">H</t>
  </si>
  <si>
    <t xml:space="preserve">Perpajakan</t>
  </si>
  <si>
    <t xml:space="preserve">PSAK 46 · SA 250</t>
  </si>
  <si>
    <t xml:space="preserve">I</t>
  </si>
  <si>
    <t xml:space="preserve">Imbalan Kerja</t>
  </si>
  <si>
    <t xml:space="preserve">SA 540 · PSAK 24</t>
  </si>
  <si>
    <t xml:space="preserve">J</t>
  </si>
  <si>
    <t xml:space="preserve">Ekuitas</t>
  </si>
  <si>
    <t xml:space="preserve">SA 500</t>
  </si>
  <si>
    <t xml:space="preserve">K</t>
  </si>
  <si>
    <t xml:space="preserve">Pendapatan &amp; Beban</t>
  </si>
  <si>
    <t xml:space="preserve">SA 240 · SA 520 · PSAK 72</t>
  </si>
  <si>
    <t xml:space="preserve">AR</t>
  </si>
  <si>
    <t xml:space="preserve">Prosedur Analitis Substantif</t>
  </si>
  <si>
    <t xml:space="preserve">SA 520</t>
  </si>
  <si>
    <t xml:space="preserve">SMP</t>
  </si>
  <si>
    <t xml:space="preserve">Sampling (MUS)</t>
  </si>
  <si>
    <t xml:space="preserve">SA 530</t>
  </si>
  <si>
    <t xml:space="preserve">JET</t>
  </si>
  <si>
    <t xml:space="preserve">Journal Entry Testing</t>
  </si>
  <si>
    <t xml:space="preserve">SA 240</t>
  </si>
  <si>
    <t xml:space="preserve">CONF</t>
  </si>
  <si>
    <t xml:space="preserve">Log Konfirmasi Eksternal</t>
  </si>
  <si>
    <t xml:space="preserve">RPT</t>
  </si>
  <si>
    <t xml:space="preserve">Pihak Berelasi &amp; Transaksi</t>
  </si>
  <si>
    <t xml:space="preserve">SA 550 · PSAK 7</t>
  </si>
  <si>
    <t xml:space="preserve">OB</t>
  </si>
  <si>
    <t xml:space="preserve">Saldo Awal &amp; Komparatif</t>
  </si>
  <si>
    <t xml:space="preserve">SA 510 · SA 710</t>
  </si>
  <si>
    <t xml:space="preserve">SAD</t>
  </si>
  <si>
    <t xml:space="preserve">Ringkasan Salah Saji (SAD)</t>
  </si>
  <si>
    <t xml:space="preserve">3 · Review</t>
  </si>
  <si>
    <t xml:space="preserve">Belum</t>
  </si>
  <si>
    <t xml:space="preserve">RVW</t>
  </si>
  <si>
    <t xml:space="preserve">Checklist Reviu &amp; Penyelesaian</t>
  </si>
  <si>
    <t xml:space="preserve">SA 220 · SA 230</t>
  </si>
  <si>
    <t xml:space="preserve">EQR</t>
  </si>
  <si>
    <t xml:space="preserve">Engagement Quality Review</t>
  </si>
  <si>
    <t xml:space="preserve">ISQM 2 · SA 220</t>
  </si>
  <si>
    <t xml:space="preserve">GC</t>
  </si>
  <si>
    <t xml:space="preserve">Kelangsungan Usaha</t>
  </si>
  <si>
    <t xml:space="preserve">4 · Reporting</t>
  </si>
  <si>
    <t xml:space="preserve">SA 570</t>
  </si>
  <si>
    <t xml:space="preserve">SUB</t>
  </si>
  <si>
    <t xml:space="preserve">Peristiwa Kemudian</t>
  </si>
  <si>
    <t xml:space="preserve">SA 560</t>
  </si>
  <si>
    <t xml:space="preserve">MRL</t>
  </si>
  <si>
    <t xml:space="preserve">Surat Representasi Manajemen</t>
  </si>
  <si>
    <t xml:space="preserve">SA 580</t>
  </si>
  <si>
    <t xml:space="preserve">TCWG</t>
  </si>
  <si>
    <t xml:space="preserve">Komunikasi dengan TCWG</t>
  </si>
  <si>
    <t xml:space="preserve">SA 260 · SA 265</t>
  </si>
  <si>
    <t xml:space="preserve">CONC</t>
  </si>
  <si>
    <t xml:space="preserve">Kesimpulan Audit &amp; Opini</t>
  </si>
  <si>
    <t xml:space="preserve">SA 700 · 705 · 706</t>
  </si>
  <si>
    <t xml:space="preserve">ARCH</t>
  </si>
  <si>
    <t xml:space="preserve">Penyelesaian &amp; Pengarsipan</t>
  </si>
  <si>
    <t xml:space="preserve">5 · Archive</t>
  </si>
  <si>
    <t xml:space="preserve">SA 230 · ISQM 1</t>
  </si>
  <si>
    <t xml:space="preserve">REF</t>
  </si>
  <si>
    <t xml:space="preserve">Peta Standar SA per Fase</t>
  </si>
  <si>
    <t xml:space="preserve">SA (SPAP)</t>
  </si>
  <si>
    <t xml:space="preserve">Legenda:</t>
  </si>
  <si>
    <t xml:space="preserve">DR=Dimas Raharja (Senior) · AP=Anindya Pramesti (Manajer) · HW=Hartono Wijaya (Partner). Status: Selesai=kesimpulan ditandatangani; Berjalan=fieldwork; Belum=menunggu gate fase.</t>
  </si>
  <si>
    <t xml:space="preserve">PENERIMAAN &amp; KEBERLANJUTAN PERIKATAN</t>
  </si>
  <si>
    <t xml:space="preserve">Indeks KKA: A0   ·   Standar: SA 220 · ISQM 1 · SA 210   ·   Fase: 0 · Acceptance</t>
  </si>
  <si>
    <t xml:space="preserve">↩ Index</t>
  </si>
  <si>
    <t xml:space="preserve">Gate Fase 0 → 1: wajib selesai sebelum Surat Perikatan (SA 210). Independensi tim dikonfirmasi (SA 220 · ISQM 1).</t>
  </si>
  <si>
    <t xml:space="preserve">No</t>
  </si>
  <si>
    <t xml:space="preserve">Kriteria Penilaian</t>
  </si>
  <si>
    <t xml:space="preserve">Ya</t>
  </si>
  <si>
    <t xml:space="preserve">Tidak</t>
  </si>
  <si>
    <t xml:space="preserve">Catatan / Bukti</t>
  </si>
  <si>
    <t xml:space="preserve">Integritas manajemen &amp; pemilik dapat diandalkan (tidak ada red flag fraud).</t>
  </si>
  <si>
    <t xml:space="preserve">☐</t>
  </si>
  <si>
    <t xml:space="preserve">Tidak ada ancaman independensi yang tak dapat dikurangi ke tingkat dapat diterima.</t>
  </si>
  <si>
    <t xml:space="preserve">KAP memiliki kompetensi, waktu, dan sumber daya untuk perikatan ini.</t>
  </si>
  <si>
    <t xml:space="preserve">Tidak ada konflik kepentingan dengan klien lain.</t>
  </si>
  <si>
    <t xml:space="preserve">Kelengkapan PMPJ/AML (KYC) klien terpenuhi.</t>
  </si>
  <si>
    <t xml:space="preserve">Continuance: tidak ada perselisihan signifikan / scope limitation periode lalu.</t>
  </si>
  <si>
    <t xml:space="preserve">Fee sepadan dengan risiko &amp; lingkup (tidak menimbulkan ancaman self-interest).</t>
  </si>
  <si>
    <t xml:space="preserve">Komunikasi dengan auditor pendahulu dilakukan (jika klien baru) — SA 510.</t>
  </si>
  <si>
    <t xml:space="preserve">KEPUTUSAN PENERIMAAN/KEBERLANJUTAN</t>
  </si>
  <si>
    <t xml:space="preserve">☐ Diterima / Dilanjutkan   ☐ Diterima dengan syarat   ☐ Ditolak</t>
  </si>
  <si>
    <t xml:space="preserve">Disusun oleh</t>
  </si>
  <si>
    <t xml:space="preserve">Tgl:</t>
  </si>
  <si>
    <t xml:space="preserve">______</t>
  </si>
  <si>
    <t xml:space="preserve">Direviu oleh</t>
  </si>
  <si>
    <t xml:space="preserve">Disetujui Partner</t>
  </si>
  <si>
    <t xml:space="preserve">INDEPENDENSI &amp; ETIKA PROFESI</t>
  </si>
  <si>
    <t xml:space="preserve">Indeks KKA: IND   ·   Standar: SA 220 · Kode Etik   ·   Fase: 0 · Acceptance</t>
  </si>
  <si>
    <t xml:space="preserve">Pernyataan &amp; evaluasi ancaman independensi seluruh anggota tim (SA 220 · Kode Etik IAPI).</t>
  </si>
  <si>
    <t xml:space="preserve">Uraian / Kriteria</t>
  </si>
  <si>
    <t xml:space="preserve">Ya/Ada</t>
  </si>
  <si>
    <t xml:space="preserve">Catatan / Ref WP</t>
  </si>
  <si>
    <t xml:space="preserve">Seluruh anggota tim menandatangani pernyataan independensi tahunan.</t>
  </si>
  <si>
    <t xml:space="preserve">Tidak ada kepentingan keuangan langsung/tidak langsung pada klien.</t>
  </si>
  <si>
    <t xml:space="preserve">Tidak ada hubungan keluarga dekat dengan manajemen kunci/pemilik.</t>
  </si>
  <si>
    <t xml:space="preserve">Tidak ada jasa non-asurans yang menimbulkan ancaman self-review.</t>
  </si>
  <si>
    <t xml:space="preserve">Rotasi partner &amp; EQR dipatuhi (untuk entitas kepentingan publik).</t>
  </si>
  <si>
    <t xml:space="preserve">Tingkat fee tidak menciptakan ancaman self-interest (ketergantungan).</t>
  </si>
  <si>
    <t xml:space="preserve">Lima ancaman dinilai (self-interest, self-review, advokasi, kedekatan, intimidasi) &amp; pengaman diterapkan.</t>
  </si>
  <si>
    <t xml:space="preserve">Konfirmasi independensi tingkat KAP (firm-wide) diperoleh.</t>
  </si>
  <si>
    <t xml:space="preserve">KESIMPULAN</t>
  </si>
  <si>
    <t xml:space="preserve">[Tuliskan kesimpulan, isu terbuka &amp; tindak lanjut.]</t>
  </si>
  <si>
    <t xml:space="preserve">PEMAHAMAN ENTITAS &amp; LINGKUNGANNYA</t>
  </si>
  <si>
    <t xml:space="preserve">Indeks KKA: P0   ·   Standar: SA 315   ·   Fase: 1 · Planning</t>
  </si>
  <si>
    <t xml:space="preserve">Dasar identifikasi risiko salah saji material (SA 315) &amp; diskusi tim perikatan.</t>
  </si>
  <si>
    <t xml:space="preserve">Model bisnis, industri, &amp; faktor eksternal (regulasi, pasar) dipahami &amp; didokumentasikan.</t>
  </si>
  <si>
    <t xml:space="preserve">Struktur kepemilikan, tata kelola, &amp; daftar pihak berelasi diidentifikasi.</t>
  </si>
  <si>
    <t xml:space="preserve">Kerangka pelaporan &amp; kebijakan akuntansi signifikan dipahami.</t>
  </si>
  <si>
    <t xml:space="preserve">Lingkungan TI &amp; sistem informasi relevan pelaporan keuangan dipetakan.</t>
  </si>
  <si>
    <t xml:space="preserve">Pengendalian tingkat entitas (control environment) dievaluasi.</t>
  </si>
  <si>
    <t xml:space="preserve">Estimasi akuntansi signifikan &amp; area judgment diidentifikasi.</t>
  </si>
  <si>
    <t xml:space="preserve">Prosedur analitis awal untuk identifikasi risiko dilakukan.</t>
  </si>
  <si>
    <t xml:space="preserve">Diskusi tim perikatan atas kerentanan salah saji &amp; fraud terdokumentasi (SA 240.15).</t>
  </si>
  <si>
    <t xml:space="preserve">PENETAPAN MATERIALITAS</t>
  </si>
  <si>
    <t xml:space="preserve">Indeks KKA: P1   ·   Standar: SA 320   ·   Fase: 1 · Planning</t>
  </si>
  <si>
    <t xml:space="preserve">Ditetapkan pada Fase Planning (SA 320). Basis &amp; nilai dari TB klien. Angka final disetujui Partner.</t>
  </si>
  <si>
    <t xml:space="preserve">Perhitungan materialitas</t>
  </si>
  <si>
    <t xml:space="preserve">Komponen</t>
  </si>
  <si>
    <t xml:space="preserve">Nilai</t>
  </si>
  <si>
    <t xml:space="preserve">Sumber/Dasar</t>
  </si>
  <si>
    <t xml:space="preserve">Basis terpilih</t>
  </si>
  <si>
    <t xml:space="preserve">Pendapatan (Penjualan Bersih)</t>
  </si>
  <si>
    <t xml:space="preserve">WTB 4-1100</t>
  </si>
  <si>
    <t xml:space="preserve">Nilai basis (Rp)</t>
  </si>
  <si>
    <t xml:space="preserve">WTB Saldo Audit</t>
  </si>
  <si>
    <t xml:space="preserve">Persentase basis (%)</t>
  </si>
  <si>
    <t xml:space="preserve">Judgment 0,5–1%</t>
  </si>
  <si>
    <t xml:space="preserve">Overall Materiality (OM)</t>
  </si>
  <si>
    <t xml:space="preserve">nilai × %</t>
  </si>
  <si>
    <t xml:space="preserve">Performance Materiality %</t>
  </si>
  <si>
    <t xml:space="preserve">50–75%</t>
  </si>
  <si>
    <t xml:space="preserve">Performance Materiality (PM)</t>
  </si>
  <si>
    <t xml:space="preserve">OM × %</t>
  </si>
  <si>
    <t xml:space="preserve">Clearly Trivial %</t>
  </si>
  <si>
    <t xml:space="preserve">~5% dari OM</t>
  </si>
  <si>
    <t xml:space="preserve">Clearly Trivial Threshold</t>
  </si>
  <si>
    <t xml:space="preserve">&lt; ini tidak diakumulasi</t>
  </si>
  <si>
    <t xml:space="preserve">Dasar pemilihan basis</t>
  </si>
  <si>
    <t xml:space="preserve">Entitas berorientasi laba; pengguna utama pemegang saham &amp; kreditur. Pendapatan dipilih karena paling stabil &amp; relevan. PM 65% mempertimbangkan risiko signifikan pengakuan pendapatan (SA 240) &amp; estimasi CKPN.</t>
  </si>
  <si>
    <t xml:space="preserve">PENILAIAN RISIKO &amp; RESPONS</t>
  </si>
  <si>
    <t xml:space="preserve">Indeks KKA: P2   ·   Standar: SA 315 · SA 330 · SA 240   ·   Fase: 1 · Planning</t>
  </si>
  <si>
    <t xml:space="preserve">Identifikasi RSSM tingkat asersi (SA 315) &amp; rancangan respons (SA 330). Pengakuan pendapatan = risiko fraud default (SA 240).</t>
  </si>
  <si>
    <t xml:space="preserve">ID</t>
  </si>
  <si>
    <t xml:space="preserve">Area</t>
  </si>
  <si>
    <t xml:space="preserve">Asersi</t>
  </si>
  <si>
    <t xml:space="preserve">Deskripsi Risiko</t>
  </si>
  <si>
    <t xml:space="preserve">L</t>
  </si>
  <si>
    <t xml:space="preserve">Inheren</t>
  </si>
  <si>
    <t xml:space="preserve">Respons Audit</t>
  </si>
  <si>
    <t xml:space="preserve">Fraud</t>
  </si>
  <si>
    <t xml:space="preserve">WP</t>
  </si>
  <si>
    <t xml:space="preserve">R-01</t>
  </si>
  <si>
    <t xml:space="preserve">Pendapatan</t>
  </si>
  <si>
    <t xml:space="preserve">Occurrence</t>
  </si>
  <si>
    <t xml:space="preserve">Pengakuan pendapatan dipercepat/fiktif menjelang tutup buku</t>
  </si>
  <si>
    <t xml:space="preserve">4</t>
  </si>
  <si>
    <t xml:space="preserve">5</t>
  </si>
  <si>
    <t xml:space="preserve">Signifikan</t>
  </si>
  <si>
    <t xml:space="preserve">Cut-off testing, vouching pengiriman &amp; kontrak (PSAK 72), uji jurnal</t>
  </si>
  <si>
    <t xml:space="preserve">K/JET</t>
  </si>
  <si>
    <t xml:space="preserve">R-02</t>
  </si>
  <si>
    <t xml:space="preserve">Valuation</t>
  </si>
  <si>
    <t xml:space="preserve">Persediaan usang tidak dicadangkan; NRV &lt; biaya</t>
  </si>
  <si>
    <t xml:space="preserve">3</t>
  </si>
  <si>
    <t xml:space="preserve">Uji NRV, observasi stock opname &amp; test count (SA 501)</t>
  </si>
  <si>
    <t xml:space="preserve">R-03</t>
  </si>
  <si>
    <t xml:space="preserve">Piutang Usaha</t>
  </si>
  <si>
    <t xml:space="preserve">Estimasi ECL/CKPN (PSAK 71) tidak memadai</t>
  </si>
  <si>
    <t xml:space="preserve">Re-perform model ECL, uji aging &amp; subsequent collection</t>
  </si>
  <si>
    <t xml:space="preserve">R-04</t>
  </si>
  <si>
    <t xml:space="preserve">Aset Tetap</t>
  </si>
  <si>
    <t xml:space="preserve">Existence</t>
  </si>
  <si>
    <t xml:space="preserve">Aset dilepas namun masih tercatat</t>
  </si>
  <si>
    <t xml:space="preserve">2</t>
  </si>
  <si>
    <t xml:space="preserve">Moderat</t>
  </si>
  <si>
    <t xml:space="preserve">Vouching penambahan/pelepasan, inspeksi fisik, rekon FAR</t>
  </si>
  <si>
    <t xml:space="preserve">R-05</t>
  </si>
  <si>
    <t xml:space="preserve">Beban Akrual</t>
  </si>
  <si>
    <t xml:space="preserve">Completeness</t>
  </si>
  <si>
    <t xml:space="preserve">Liabilitas/akrual tidak dicatat (understatement)</t>
  </si>
  <si>
    <t xml:space="preserve">Search for unrecorded liabilities, uji subsequent payment</t>
  </si>
  <si>
    <t xml:space="preserve">R-06</t>
  </si>
  <si>
    <t xml:space="preserve">Accuracy</t>
  </si>
  <si>
    <t xml:space="preserve">Rekonsiliasi fiskal &amp; pajak tangguhan keliru (PSAK 46)</t>
  </si>
  <si>
    <t xml:space="preserve">Tie-out SPT, re-compute deferred tax, telaah sengketa</t>
  </si>
  <si>
    <t xml:space="preserve">R-07</t>
  </si>
  <si>
    <t xml:space="preserve">Sewa</t>
  </si>
  <si>
    <t xml:space="preserve">Measurement</t>
  </si>
  <si>
    <t xml:space="preserve">Pengukuran aset hak-guna &amp; liabilitas sewa (PSAK 73)</t>
  </si>
  <si>
    <t xml:space="preserve">Re-compute discount rate &amp; amortisasi, telaah kontrak</t>
  </si>
  <si>
    <t xml:space="preserve">Skala:</t>
  </si>
  <si>
    <t xml:space="preserve">L=Likelihood (1–5), I=Impact (1–5). Inheren Signifikan bila kombinasi tinggi atau risiko fraud. Tiap risiko signifikan wajib punya respons substantif spesifik (SA 330).</t>
  </si>
  <si>
    <t xml:space="preserve">PENGENDALIAN INTERNAL &amp; WALKTHROUGH</t>
  </si>
  <si>
    <t xml:space="preserve">Indeks KKA: ICFR   ·   Standar: SA 315 · SA 330   ·   Fase: 1 · Planning</t>
  </si>
  <si>
    <t xml:space="preserve">Pemahaman &amp; pengujian rancangan/implementasi pengendalian per siklus (SA 315 · SA 330).</t>
  </si>
  <si>
    <t xml:space="preserve">Kolom Ya = kontrol dirancang &amp; diimplementasikan efektif; Tidak = defisiensi (lanjutkan ke SA 265).</t>
  </si>
  <si>
    <t xml:space="preserve">Siklus Pendapatan–Piutang–Penerimaan: walkthrough &amp; kontrol kunci teridentifikasi.</t>
  </si>
  <si>
    <t xml:space="preserve">Siklus Pembelian–Utang–Pengeluaran: walkthrough &amp; kontrol kunci.</t>
  </si>
  <si>
    <t xml:space="preserve">Siklus Persediaan &amp; Produksi: walkthrough &amp; kontrol kunci.</t>
  </si>
  <si>
    <t xml:space="preserve">Siklus Penggajian &amp; SDM: walkthrough &amp; kontrol kunci.</t>
  </si>
  <si>
    <t xml:space="preserve">Proses pelaporan keuangan &amp; jurnal period-end: kontrol kunci.</t>
  </si>
  <si>
    <t xml:space="preserve">ITGC (akses, perubahan program, operasi TI) dinilai.</t>
  </si>
  <si>
    <t xml:space="preserve">Rancangan &amp; implementasi kontrol kunci diuji (D&amp;I).</t>
  </si>
  <si>
    <t xml:space="preserve">Keputusan: mengandalkan pengendalian? (Ya → uji pengendalian; Tidak → substantif penuh).</t>
  </si>
  <si>
    <t xml:space="preserve">STRATEGI AUDIT &amp; PROGRAM (MASTER)</t>
  </si>
  <si>
    <t xml:space="preserve">Indeks KKA: P3   ·   Standar: SA 300   ·   Fase: 1 · Planning</t>
  </si>
  <si>
    <t xml:space="preserve">Strategi keseluruhan &amp; arah program (SA 300). Program per area dirinci di lead schedule.</t>
  </si>
  <si>
    <t xml:space="preserve">RINGKASAN STRATEGI</t>
  </si>
  <si>
    <t xml:space="preserve">Pendekatan audit</t>
  </si>
  <si>
    <t xml:space="preserve">Kombinasi uji pengendalian terbatas + substantif; substantif penuh untuk area risiko signifikan.</t>
  </si>
  <si>
    <t xml:space="preserve">Area fokus</t>
  </si>
  <si>
    <t xml:space="preserve">Pendapatan (fraud), CKPN/ECL, Persediaan (NRV &amp; opname), Sewa PSAK 73, Perpajakan.</t>
  </si>
  <si>
    <t xml:space="preserve">Penggunaan ahli</t>
  </si>
  <si>
    <t xml:space="preserve">Aktuaris (imbalan kerja PSAK 24); penilai (bila ada revaluasi).</t>
  </si>
  <si>
    <t xml:space="preserve">Komponen/Group</t>
  </si>
  <si>
    <t xml:space="preserve">Entitas tunggal — tidak ada komponen signifikan (SA 600 n/a).</t>
  </si>
  <si>
    <t xml:space="preserve">Tim &amp; jadwal</t>
  </si>
  <si>
    <t xml:space="preserve">Partner HW, Manajer AP, Senior DR + 2 staf; fieldwork Feb–Mar, pelaporan Mar.</t>
  </si>
  <si>
    <t xml:space="preserve">OM, PM, trivial mengikuti KKA P1 (SA 320).</t>
  </si>
  <si>
    <t xml:space="preserve">PROGRAM AUDIT — 29 LANGKAH → 6 FASE</t>
  </si>
  <si>
    <t xml:space="preserve">#</t>
  </si>
  <si>
    <t xml:space="preserve">Prosedur / Tahapan</t>
  </si>
  <si>
    <t xml:space="preserve">SA</t>
  </si>
  <si>
    <t xml:space="preserve">Oleh</t>
  </si>
  <si>
    <t xml:space="preserve">1</t>
  </si>
  <si>
    <t xml:space="preserve">Penerimaan &amp; keberlanjutan + independensi</t>
  </si>
  <si>
    <t xml:space="preserve">0</t>
  </si>
  <si>
    <t xml:space="preserve">SA 220</t>
  </si>
  <si>
    <t xml:space="preserve">Surat perikatan ditandatangani</t>
  </si>
  <si>
    <t xml:space="preserve">SA 210</t>
  </si>
  <si>
    <t xml:space="preserve">Pemahaman entitas &amp; lingkungannya</t>
  </si>
  <si>
    <t xml:space="preserve">Penilaian risiko tingkat asersi</t>
  </si>
  <si>
    <t xml:space="preserve">Penetapan materialitas</t>
  </si>
  <si>
    <t xml:space="preserve">6</t>
  </si>
  <si>
    <t xml:space="preserve">Strategi &amp; rencana audit disetujui partner</t>
  </si>
  <si>
    <t xml:space="preserve">7</t>
  </si>
  <si>
    <t xml:space="preserve">Prosedur analitis pendahuluan</t>
  </si>
  <si>
    <t xml:space="preserve">8</t>
  </si>
  <si>
    <t xml:space="preserve">Evaluasi going concern awal</t>
  </si>
  <si>
    <t xml:space="preserve">9–20</t>
  </si>
  <si>
    <t xml:space="preserve">Prosedur substantif per area A–K</t>
  </si>
  <si>
    <t xml:space="preserve">SA 330/500</t>
  </si>
  <si>
    <t xml:space="preserve">A–K</t>
  </si>
  <si>
    <t xml:space="preserve">21</t>
  </si>
  <si>
    <t xml:space="preserve">Tindak lanjut open issues</t>
  </si>
  <si>
    <t xml:space="preserve">22</t>
  </si>
  <si>
    <t xml:space="preserve">Review berjenjang Senior→Manajer</t>
  </si>
  <si>
    <t xml:space="preserve">23</t>
  </si>
  <si>
    <t xml:space="preserve">Evaluasi salah saji terakumulasi</t>
  </si>
  <si>
    <t xml:space="preserve">24</t>
  </si>
  <si>
    <t xml:space="preserve">Subsequent events review</t>
  </si>
  <si>
    <t xml:space="preserve">25</t>
  </si>
  <si>
    <t xml:space="preserve">Surat representasi manajemen (MRL)</t>
  </si>
  <si>
    <t xml:space="preserve">26</t>
  </si>
  <si>
    <t xml:space="preserve">Kesimpulan &amp; penentuan opini</t>
  </si>
  <si>
    <t xml:space="preserve">SA 700</t>
  </si>
  <si>
    <t xml:space="preserve">27</t>
  </si>
  <si>
    <t xml:space="preserve">Komunikasi TCWG &amp; management letter</t>
  </si>
  <si>
    <t xml:space="preserve">SA 260</t>
  </si>
  <si>
    <t xml:space="preserve">28</t>
  </si>
  <si>
    <t xml:space="preserve">Penerbitan laporan auditor</t>
  </si>
  <si>
    <t xml:space="preserve">29</t>
  </si>
  <si>
    <t xml:space="preserve">Penyelesaian &amp; arsip file (lock 60 hari)</t>
  </si>
  <si>
    <t xml:space="preserve">WORKING TRIAL BALANCE</t>
  </si>
  <si>
    <t xml:space="preserve">Indeks KKA: WTB   ·   Standar: SA 230 · SA 330   ·   Fase: 2 · Fieldwork</t>
  </si>
  <si>
    <t xml:space="preserve">Lead schedule utama (SSOT). Saldo Audit = Per Klien + AJE. Kolom Lead menautkan akun ke KKA area.</t>
  </si>
  <si>
    <t xml:space="preserve">Klasifikasi</t>
  </si>
  <si>
    <t xml:space="preserve">Kode</t>
  </si>
  <si>
    <t xml:space="preserve">Nama Akun</t>
  </si>
  <si>
    <t xml:space="preserve">Saldo TL (Audited)</t>
  </si>
  <si>
    <t xml:space="preserve">Per Klien (Unadj)</t>
  </si>
  <si>
    <t xml:space="preserve">Saldo Audit (Adj)</t>
  </si>
  <si>
    <t xml:space="preserve">Lead</t>
  </si>
  <si>
    <t xml:space="preserve">Aset Lancar</t>
  </si>
  <si>
    <t xml:space="preserve">1-1100</t>
  </si>
  <si>
    <t xml:space="preserve">Kas dan Setara Kas</t>
  </si>
  <si>
    <t xml:space="preserve">1-1200</t>
  </si>
  <si>
    <t xml:space="preserve">Piutang Usaha - Pihak Ketiga</t>
  </si>
  <si>
    <t xml:space="preserve">1-1210</t>
  </si>
  <si>
    <t xml:space="preserve">Cadangan Kerugian Penurunan Nilai</t>
  </si>
  <si>
    <t xml:space="preserve">1-1300</t>
  </si>
  <si>
    <t xml:space="preserve">1-1400</t>
  </si>
  <si>
    <t xml:space="preserve">Pajak Dibayar di Muka</t>
  </si>
  <si>
    <t xml:space="preserve">1-1500</t>
  </si>
  <si>
    <t xml:space="preserve">Biaya Dibayar di Muka</t>
  </si>
  <si>
    <t xml:space="preserve">Aset Tidak Lancar</t>
  </si>
  <si>
    <t xml:space="preserve">1-2100</t>
  </si>
  <si>
    <t xml:space="preserve">Aset Tetap - Harga Perolehan</t>
  </si>
  <si>
    <t xml:space="preserve">1-2110</t>
  </si>
  <si>
    <t xml:space="preserve">Akumulasi Penyusutan</t>
  </si>
  <si>
    <t xml:space="preserve">1-2400</t>
  </si>
  <si>
    <t xml:space="preserve">Aset Takberwujud - Harga Perolehan</t>
  </si>
  <si>
    <t xml:space="preserve">1-2410</t>
  </si>
  <si>
    <t xml:space="preserve">Akumulasi Amortisasi</t>
  </si>
  <si>
    <t xml:space="preserve">1-2300</t>
  </si>
  <si>
    <t xml:space="preserve">Aset Hak-Guna (PSAK 73)</t>
  </si>
  <si>
    <t xml:space="preserve">1-2500</t>
  </si>
  <si>
    <t xml:space="preserve">Aset Pajak Tangguhan</t>
  </si>
  <si>
    <t xml:space="preserve">Liabilitas Jk. Pendek</t>
  </si>
  <si>
    <t xml:space="preserve">2-1100</t>
  </si>
  <si>
    <t xml:space="preserve">Utang Usaha</t>
  </si>
  <si>
    <t xml:space="preserve">2-1200</t>
  </si>
  <si>
    <t xml:space="preserve">Utang Bank Jangka Pendek</t>
  </si>
  <si>
    <t xml:space="preserve">2-1300</t>
  </si>
  <si>
    <t xml:space="preserve">2-1400</t>
  </si>
  <si>
    <t xml:space="preserve">Utang Pajak</t>
  </si>
  <si>
    <t xml:space="preserve">2-1500</t>
  </si>
  <si>
    <t xml:space="preserve">Liabilitas Sewa - Jk. Pendek</t>
  </si>
  <si>
    <t xml:space="preserve">Liabilitas Jk. Panjang</t>
  </si>
  <si>
    <t xml:space="preserve">2-2100</t>
  </si>
  <si>
    <t xml:space="preserve">Utang Bank Jangka Panjang</t>
  </si>
  <si>
    <t xml:space="preserve">2-2200</t>
  </si>
  <si>
    <t xml:space="preserve">Liabilitas Sewa - Jk. Panjang</t>
  </si>
  <si>
    <t xml:space="preserve">2-2300</t>
  </si>
  <si>
    <t xml:space="preserve">Liabilitas Imbalan Kerja</t>
  </si>
  <si>
    <t xml:space="preserve">3-1100</t>
  </si>
  <si>
    <t xml:space="preserve">Modal Saham</t>
  </si>
  <si>
    <t xml:space="preserve">3-2100</t>
  </si>
  <si>
    <t xml:space="preserve">Saldo Laba</t>
  </si>
  <si>
    <t xml:space="preserve">4-1100</t>
  </si>
  <si>
    <t xml:space="preserve">Penjualan Bersih</t>
  </si>
  <si>
    <t xml:space="preserve">Beban</t>
  </si>
  <si>
    <t xml:space="preserve">5-1100</t>
  </si>
  <si>
    <t xml:space="preserve">Beban Pokok Penjualan</t>
  </si>
  <si>
    <t xml:space="preserve">5-2100</t>
  </si>
  <si>
    <t xml:space="preserve">Beban Penjualan</t>
  </si>
  <si>
    <t xml:space="preserve">5-3100</t>
  </si>
  <si>
    <t xml:space="preserve">Beban Umum &amp; Administrasi</t>
  </si>
  <si>
    <t xml:space="preserve">5-4100</t>
  </si>
  <si>
    <t xml:space="preserve">Beban Keuangan</t>
  </si>
  <si>
    <t xml:space="preserve">5-5100</t>
  </si>
  <si>
    <t xml:space="preserve">Beban Pajak Penghasilan</t>
  </si>
  <si>
    <t xml:space="preserve">Jumlah (Σ)</t>
  </si>
  <si>
    <t xml:space="preserve">Kontrol AJE — Σ penyesuaian (harus 0)</t>
  </si>
  <si>
    <t xml:space="preserve">Catatan:</t>
  </si>
  <si>
    <t xml:space="preserve">Kolom biru = input (TB klien &amp; TL audited). Saldo Audit &amp; seluruh subtotal dihitung formula. Kontrol AJE (baris 39) harus 0 — total debit penyesuaian = total kredit. Pada TB klien lengkap, Σ saldo Adj juga = 0. AJE bersumber dari KKA 'AJE'.</t>
  </si>
  <si>
    <t xml:space="preserve">JURNAL PENYESUAIAN &amp; REKLASIFIKASI</t>
  </si>
  <si>
    <t xml:space="preserve">Indeks KKA: AJE   ·   Standar: SA 450   ·   Fase: 2 · Fieldwork</t>
  </si>
  <si>
    <t xml:space="preserve">Usulan &amp; posting penyesuaian audit (SA 450). Proposed=diusulkan; Posted=disetujui klien.</t>
  </si>
  <si>
    <t xml:space="preserve">Deskripsi</t>
  </si>
  <si>
    <t xml:space="preserve">Debit (akun)</t>
  </si>
  <si>
    <t xml:space="preserve">Kredit (akun)</t>
  </si>
  <si>
    <t xml:space="preserve">Nilai (Rp)</t>
  </si>
  <si>
    <t xml:space="preserve">Tipe</t>
  </si>
  <si>
    <t xml:space="preserve">AJE-01</t>
  </si>
  <si>
    <t xml:space="preserve">Penyesuaian cut-off persediaan akhir</t>
  </si>
  <si>
    <t xml:space="preserve">C-3</t>
  </si>
  <si>
    <t xml:space="preserve">Posted</t>
  </si>
  <si>
    <t xml:space="preserve">5-1100 BPP</t>
  </si>
  <si>
    <t xml:space="preserve">1-1300 Persediaan</t>
  </si>
  <si>
    <t xml:space="preserve">Koreksi</t>
  </si>
  <si>
    <t xml:space="preserve">AJE-02</t>
  </si>
  <si>
    <t xml:space="preserve">Tambahan CKPN piutang (model ECL)</t>
  </si>
  <si>
    <t xml:space="preserve">B-7</t>
  </si>
  <si>
    <t xml:space="preserve">5-3100 Beban Umum</t>
  </si>
  <si>
    <t xml:space="preserve">1-1210 CKPN</t>
  </si>
  <si>
    <t xml:space="preserve">AJE-03</t>
  </si>
  <si>
    <t xml:space="preserve">Pembalikan piutang fiktif (cut-off)</t>
  </si>
  <si>
    <t xml:space="preserve">B-2</t>
  </si>
  <si>
    <t xml:space="preserve">Proposed</t>
  </si>
  <si>
    <t xml:space="preserve">4-1100 Penjualan</t>
  </si>
  <si>
    <t xml:space="preserve">1-1200 Piutang</t>
  </si>
  <si>
    <t xml:space="preserve">AJE-04</t>
  </si>
  <si>
    <t xml:space="preserve">Akrual bonus manajemen</t>
  </si>
  <si>
    <t xml:space="preserve">F-1</t>
  </si>
  <si>
    <t xml:space="preserve">2-1300 Akrual</t>
  </si>
  <si>
    <t xml:space="preserve">AJE-05</t>
  </si>
  <si>
    <t xml:space="preserve">Penyusutan tambahan aset tetap</t>
  </si>
  <si>
    <t xml:space="preserve">D-2</t>
  </si>
  <si>
    <t xml:space="preserve">1-2110 Ak. Penyusutan</t>
  </si>
  <si>
    <t xml:space="preserve">AJE-06</t>
  </si>
  <si>
    <t xml:space="preserve">Pajak tangguhan atas penyesuaian</t>
  </si>
  <si>
    <t xml:space="preserve">H-1</t>
  </si>
  <si>
    <t xml:space="preserve">1-2500 Aset Pajak Tgh</t>
  </si>
  <si>
    <t xml:space="preserve">5-5100 Beban Pajak</t>
  </si>
  <si>
    <t xml:space="preserve">Total nilai penyesuaian</t>
  </si>
  <si>
    <t xml:space="preserve">LEAD SCHEDULE A — Kas &amp; Setara Kas</t>
  </si>
  <si>
    <t xml:space="preserve">Indeks KKA: A   ·   Standar: SA 500 · SA 505   ·   Fase: 2 · Fieldwork</t>
  </si>
  <si>
    <t xml:space="preserve">Saldo per akun tertaut ke WTB. Program prosedur &amp; kesimpulan area mengikuti SA/PSAK terkait.</t>
  </si>
  <si>
    <t xml:space="preserve">Saldo TL</t>
  </si>
  <si>
    <t xml:space="preserve">Per Klien</t>
  </si>
  <si>
    <t xml:space="preserve">Saldo Audit</t>
  </si>
  <si>
    <t xml:space="preserve">Saldo / PM</t>
  </si>
  <si>
    <t xml:space="preserve">A-1</t>
  </si>
  <si>
    <t xml:space="preserve">Total area</t>
  </si>
  <si>
    <t xml:space="preserve">PROGRAM PROSEDUR AUDIT</t>
  </si>
  <si>
    <t xml:space="preserve">Prosedur</t>
  </si>
  <si>
    <t xml:space="preserve">✓</t>
  </si>
  <si>
    <t xml:space="preserve">Hasil / Ref Bukti</t>
  </si>
  <si>
    <t xml:space="preserve">Peroleh &amp; uji rekonsiliasi bank tiap rekening; telusuri rekonsiliasi item.</t>
  </si>
  <si>
    <t xml:space="preserve">C/E/A</t>
  </si>
  <si>
    <t xml:space="preserve">Kirim &amp; kendalikan konfirmasi bank (SA 505); cocokkan saldo &amp; fasilitas.</t>
  </si>
  <si>
    <t xml:space="preserve">V/E</t>
  </si>
  <si>
    <t xml:space="preserve">Cash count kas kecil pada/dekat tanggal neraca.</t>
  </si>
  <si>
    <t xml:space="preserve">A/V</t>
  </si>
  <si>
    <t xml:space="preserve">Uji cut-off transfer antar-rekening (window dressing).</t>
  </si>
  <si>
    <t xml:space="preserve">C/E</t>
  </si>
  <si>
    <t xml:space="preserve">Telaah klasifikasi setara kas (jatuh tempo ≤ 3 bulan).</t>
  </si>
  <si>
    <t xml:space="preserve">P&amp;D</t>
  </si>
  <si>
    <t xml:space="preserve">KESIMPULAN AREA</t>
  </si>
  <si>
    <t xml:space="preserve">Berdasarkan prosedur di atas, saldo akun area ini disajikan wajar dalam semua hal material sesuai kerangka pelaporan; salah saji teridentifikasi dicatat di 'AJE' &amp; direkap di 'SAD'. [Tuliskan kesimpulan &amp; isu terbuka spesifik.]</t>
  </si>
  <si>
    <t xml:space="preserve">LEAD SCHEDULE B — Piutang Usaha &amp; CKPN</t>
  </si>
  <si>
    <t xml:space="preserve">Indeks KKA: B   ·   Standar: SA 505 · SA 540 · PSAK 71   ·   Fase: 2 · Fieldwork</t>
  </si>
  <si>
    <t xml:space="preserve">B-1</t>
  </si>
  <si>
    <t xml:space="preserve">Susun aging schedule &amp; cocokkan ke buku besar.</t>
  </si>
  <si>
    <t xml:space="preserve">Konfirmasi positif sampel piutang (SA 505); prosedur alternatif bila tak balas.</t>
  </si>
  <si>
    <t xml:space="preserve">Uji subsequent collection setelah tanggal neraca.</t>
  </si>
  <si>
    <t xml:space="preserve">Re-perform model ECL/CKPN (PSAK 71); evaluasi asumsi.</t>
  </si>
  <si>
    <t xml:space="preserve">Uji cut-off penjualan &amp; retur; identifikasi pihak berelasi (PSAK 7).</t>
  </si>
  <si>
    <t xml:space="preserve">LEAD SCHEDULE C — Persediaan</t>
  </si>
  <si>
    <t xml:space="preserve">Indeks KKA: C   ·   Standar: SA 501   ·   Fase: 2 · Fieldwork</t>
  </si>
  <si>
    <t xml:space="preserve">C-1</t>
  </si>
  <si>
    <t xml:space="preserve">Hadiri stock opname &amp; test count dua arah (SA 501 — wajib).</t>
  </si>
  <si>
    <t xml:space="preserve">Uji penilaian: metode konsisten &amp; sesuai PSAK 14.</t>
  </si>
  <si>
    <t xml:space="preserve">Uji NRV vs biaya; cadangan persediaan usang/rusak.</t>
  </si>
  <si>
    <t xml:space="preserve">Uji cut-off penerimaan &amp; pengeluaran barang.</t>
  </si>
  <si>
    <t xml:space="preserve">Rekonsiliasi hasil opname ke catatan &amp; buku besar.</t>
  </si>
  <si>
    <t xml:space="preserve">LEAD SCHEDULE D — Aset Tetap &amp; Takberwujud</t>
  </si>
  <si>
    <t xml:space="preserve">Indeks KKA: D   ·   Standar: SA 500 · PSAK 16/19   ·   Fase: 2 · Fieldwork</t>
  </si>
  <si>
    <t xml:space="preserve">D-1</t>
  </si>
  <si>
    <t xml:space="preserve">D-3</t>
  </si>
  <si>
    <t xml:space="preserve">D-4</t>
  </si>
  <si>
    <t xml:space="preserve">D-5</t>
  </si>
  <si>
    <t xml:space="preserve">Susun &amp; uji FAR (mutasi: awal, penambahan, pelepasan, akhir).</t>
  </si>
  <si>
    <t xml:space="preserve">Vouching penambahan ke faktur/kontrak; uji kapitalisasi vs beban.</t>
  </si>
  <si>
    <t xml:space="preserve">Uji pelepasan &amp; gain/loss; konfirmasi kepemilikan/legalitas.</t>
  </si>
  <si>
    <t xml:space="preserve">Re-compute penyusutan &amp; amortisasi; konsistensi masa manfaat.</t>
  </si>
  <si>
    <t xml:space="preserve">Telaah indikasi penurunan nilai (impairment).</t>
  </si>
  <si>
    <t xml:space="preserve">LEAD SCHEDULE E — Sewa Hak-Guna PSAK 73</t>
  </si>
  <si>
    <t xml:space="preserve">Indeks KKA: E   ·   Standar: SA 540 · PSAK 73   ·   Fase: 2 · Fieldwork</t>
  </si>
  <si>
    <t xml:space="preserve">E-1</t>
  </si>
  <si>
    <t xml:space="preserve">E-2</t>
  </si>
  <si>
    <t xml:space="preserve">E-3</t>
  </si>
  <si>
    <t xml:space="preserve">Inventarisasi kontrak sewa; identifikasi komponen sewa.</t>
  </si>
  <si>
    <t xml:space="preserve">Re-compute aset hak-guna &amp; liabilitas sewa pada pengakuan awal.</t>
  </si>
  <si>
    <t xml:space="preserve">Uji tingkat diskonto (incremental borrowing rate).</t>
  </si>
  <si>
    <t xml:space="preserve">Re-compute amortisasi ROU &amp; beban bunga liabilitas sewa.</t>
  </si>
  <si>
    <t xml:space="preserve">Uji klasifikasi jk pendek vs panjang &amp; pengungkapan.</t>
  </si>
  <si>
    <t xml:space="preserve">LEAD SCHEDULE F — Utang Usaha &amp; Akrual</t>
  </si>
  <si>
    <t xml:space="preserve">Indeks KKA: F   ·   Standar: SA 505 · SUL   ·   Fase: 2 · Fieldwork</t>
  </si>
  <si>
    <t xml:space="preserve">F-2</t>
  </si>
  <si>
    <t xml:space="preserve">Rekonsiliasi utang usaha ke statement pemasok.</t>
  </si>
  <si>
    <t xml:space="preserve">Search for unrecorded liabilities (uji pembayaran pasca-neraca).</t>
  </si>
  <si>
    <t xml:space="preserve">Konfirmasi saldo pemasok signifikan/bersaldo nol.</t>
  </si>
  <si>
    <t xml:space="preserve">Uji kewajaran &amp; dasar perhitungan akrual.</t>
  </si>
  <si>
    <t xml:space="preserve">Identifikasi transaksi pihak berelasi.</t>
  </si>
  <si>
    <t xml:space="preserve">LEAD SCHEDULE G — Utang Bank &amp; Pinjaman</t>
  </si>
  <si>
    <t xml:space="preserve">Indeks KKA: G   ·   Standar: SA 505   ·   Fase: 2 · Fieldwork</t>
  </si>
  <si>
    <t xml:space="preserve">G-1</t>
  </si>
  <si>
    <t xml:space="preserve">G-2</t>
  </si>
  <si>
    <t xml:space="preserve">Konfirmasi saldo, plafon, jaminan &amp; bunga ke bank.</t>
  </si>
  <si>
    <t xml:space="preserve">Uji kepatuhan covenant; nilai dampak bila terlampaui.</t>
  </si>
  <si>
    <t xml:space="preserve">Re-compute akrual bunga &amp; beban keuangan.</t>
  </si>
  <si>
    <t xml:space="preserve">Uji klasifikasi jk pendek vs panjang (jatuh tempo).</t>
  </si>
  <si>
    <t xml:space="preserve">Telaah perjanjian kredit untuk pembatasan/komitmen.</t>
  </si>
  <si>
    <t xml:space="preserve">LEAD SCHEDULE H — Perpajakan</t>
  </si>
  <si>
    <t xml:space="preserve">Indeks KKA: H   ·   Standar: PSAK 46 · SA 250   ·   Fase: 2 · Fieldwork</t>
  </si>
  <si>
    <t xml:space="preserve">H-2</t>
  </si>
  <si>
    <t xml:space="preserve">H-3</t>
  </si>
  <si>
    <t xml:space="preserve">H-4</t>
  </si>
  <si>
    <t xml:space="preserve">Rekonsiliasi fiskal laba akuntansi → laba kena pajak.</t>
  </si>
  <si>
    <t xml:space="preserve">Tie-out ke SPT Tahunan &amp; Masa; uji PPh badan terutang.</t>
  </si>
  <si>
    <t xml:space="preserve">Re-compute aset/liabilitas pajak tangguhan (PSAK 46).</t>
  </si>
  <si>
    <t xml:space="preserve">Telaah risiko sengketa pajak &amp; ketentuan tidak pasti.</t>
  </si>
  <si>
    <t xml:space="preserve">Uji transaksi &amp; dokumentasi transfer pricing afiliasi.</t>
  </si>
  <si>
    <t xml:space="preserve">LEAD SCHEDULE I — Imbalan Kerja</t>
  </si>
  <si>
    <t xml:space="preserve">Indeks KKA: I   ·   Standar: SA 540 · PSAK 24   ·   Fase: 2 · Fieldwork</t>
  </si>
  <si>
    <t xml:space="preserve">I-1</t>
  </si>
  <si>
    <t xml:space="preserve">Peroleh laporan aktuaris; evaluasi kompetensi &amp; objektivitas.</t>
  </si>
  <si>
    <t xml:space="preserve">Uji asumsi aktuarial (diskonto, kenaikan gaji, mortalitas).</t>
  </si>
  <si>
    <t xml:space="preserve">Rekonsiliasi data karyawan ke aktuaris.</t>
  </si>
  <si>
    <t xml:space="preserve">Uji pencatatan beban &amp; OCI sesuai PSAK 24.</t>
  </si>
  <si>
    <t xml:space="preserve">Telaah kecukupan pengungkapan.</t>
  </si>
  <si>
    <t xml:space="preserve">LEAD SCHEDULE J — Ekuitas</t>
  </si>
  <si>
    <t xml:space="preserve">Indeks KKA: J   ·   Standar: SA 500   ·   Fase: 2 · Fieldwork</t>
  </si>
  <si>
    <t xml:space="preserve">J-1</t>
  </si>
  <si>
    <t xml:space="preserve">J-2</t>
  </si>
  <si>
    <t xml:space="preserve">Cocokkan modal disetor ke akta &amp; pengesahan Kemenkumham.</t>
  </si>
  <si>
    <t xml:space="preserve">Uji mutasi saldo laba (laba berjalan, dividen).</t>
  </si>
  <si>
    <t xml:space="preserve">Telusuri dividen ke notulen RUPS.</t>
  </si>
  <si>
    <t xml:space="preserve">Identifikasi transaksi dengan pemegang saham (PSAK 7).</t>
  </si>
  <si>
    <t xml:space="preserve">Uji penyajian komponen ekuitas lain (OCI).</t>
  </si>
  <si>
    <t xml:space="preserve">LEAD SCHEDULE K — Pendapatan &amp; Beban</t>
  </si>
  <si>
    <t xml:space="preserve">Indeks KKA: K   ·   Standar: SA 240 · SA 520 · PSAK 72   ·   Fase: 2 · Fieldwork</t>
  </si>
  <si>
    <t xml:space="preserve">K-1</t>
  </si>
  <si>
    <t xml:space="preserve">K-2</t>
  </si>
  <si>
    <t xml:space="preserve">K-3</t>
  </si>
  <si>
    <t xml:space="preserve">K-4</t>
  </si>
  <si>
    <t xml:space="preserve">K-5</t>
  </si>
  <si>
    <t xml:space="preserve">Uji pengakuan pendapatan per PSAK 72 (5 langkah); cut-off ketat.</t>
  </si>
  <si>
    <t xml:space="preserve">Uji jurnal manual &amp; pendapatan tidak biasa (fraud — SA 240).</t>
  </si>
  <si>
    <t xml:space="preserve">Prosedur analitis substantif beban vs tahun lalu &amp; anggaran (SA 520).</t>
  </si>
  <si>
    <t xml:space="preserve">Uji detail sampel beban; salah klasifikasi/kapitalisasi.</t>
  </si>
  <si>
    <t xml:space="preserve">Identifikasi pihak berelasi &amp; retur/diskon.</t>
  </si>
  <si>
    <t xml:space="preserve">PROSEDUR ANALITIS SUBSTANTIF</t>
  </si>
  <si>
    <t xml:space="preserve">Indeks KKA: AR   ·   Standar: SA 520   ·   Fase: 2 · Fieldwork</t>
  </si>
  <si>
    <t xml:space="preserve">Rasio &amp; tren dari WTB (Saldo Audit vs TL). Selisih &gt; ekspektasi diselidiki (SA 520).</t>
  </si>
  <si>
    <t xml:space="preserve">Indikator</t>
  </si>
  <si>
    <t xml:space="preserve">Tahun Ini</t>
  </si>
  <si>
    <t xml:space="preserve">Tahun Lalu</t>
  </si>
  <si>
    <t xml:space="preserve">Δ</t>
  </si>
  <si>
    <t xml:space="preserve">Δ %</t>
  </si>
  <si>
    <t xml:space="preserve">Penjelasan / Tindak Lanjut</t>
  </si>
  <si>
    <t xml:space="preserve">Penjualan Bersih (Rp)</t>
  </si>
  <si>
    <t xml:space="preserve">Beban Pokok Penjualan (Rp)</t>
  </si>
  <si>
    <t xml:space="preserve">Laba Kotor (Rp)</t>
  </si>
  <si>
    <t xml:space="preserve">Marjin Laba Kotor</t>
  </si>
  <si>
    <t xml:space="preserve">Piutang Usaha neto (Rp)</t>
  </si>
  <si>
    <t xml:space="preserve">Hari Penagihan (DSO)</t>
  </si>
  <si>
    <t xml:space="preserve">Persediaan (Rp)</t>
  </si>
  <si>
    <t xml:space="preserve">Hari Persediaan (DIO)</t>
  </si>
  <si>
    <t xml:space="preserve">Ekspektasi &amp; ambang investigasi</t>
  </si>
  <si>
    <t xml:space="preserve">Selisih melebihi ambang (mis. &gt; PM atau &gt; 10% tanpa penjelasan bisnis) wajib diselidiki &amp; didokumentasikan; kaitkan ke risiko P2 dan uji detail area terkait.</t>
  </si>
  <si>
    <t xml:space="preserve">SAMPLING — MONETARY UNIT SAMPLING</t>
  </si>
  <si>
    <t xml:space="preserve">Indeks KKA: SMP   ·   Standar: SA 530   ·   Fase: 2 · Fieldwork</t>
  </si>
  <si>
    <t xml:space="preserve">Ukuran sampel berbasis nilai (SA 530). Interval &amp; n dihitung formula.</t>
  </si>
  <si>
    <t xml:space="preserve">Parameter</t>
  </si>
  <si>
    <t xml:space="preserve">Keterangan</t>
  </si>
  <si>
    <t xml:space="preserve">Populasi (nilai buku diuji, Rp)</t>
  </si>
  <si>
    <t xml:space="preserve">Mis. Piutang Usaha (WTB B)</t>
  </si>
  <si>
    <t xml:space="preserve">Tingkat keyakinan</t>
  </si>
  <si>
    <t xml:space="preserve">Confidence level</t>
  </si>
  <si>
    <t xml:space="preserve">Faktor reliabilitas (R)</t>
  </si>
  <si>
    <t xml:space="preserve">Tabel Poisson (0 deviasi)</t>
  </si>
  <si>
    <t xml:space="preserve">Tolerable Misstatement (Rp)</t>
  </si>
  <si>
    <t xml:space="preserve">Sama dengan Performance Materiality (P1)</t>
  </si>
  <si>
    <t xml:space="preserve">Expected Misstatement (Rp)</t>
  </si>
  <si>
    <t xml:space="preserve">Estimasi salah saji</t>
  </si>
  <si>
    <t xml:space="preserve">Faktor ekspansi (EF)</t>
  </si>
  <si>
    <t xml:space="preserve">Untuk expected misstatement</t>
  </si>
  <si>
    <t xml:space="preserve">Sampling interval (TM ÷ R)</t>
  </si>
  <si>
    <t xml:space="preserve">Setiap rupiah ke-n dipilih</t>
  </si>
  <si>
    <t xml:space="preserve">Ukuran sampel (n)</t>
  </si>
  <si>
    <t xml:space="preserve">Rumus: (Populasi×R)/(TM − EM×EF)</t>
  </si>
  <si>
    <t xml:space="preserve">Item ≥ interval (high-value) diuji 100%. Hasil → proyeksikan salah saji ke 'SAD'.</t>
  </si>
  <si>
    <t xml:space="preserve">JOURNAL ENTRY TESTING</t>
  </si>
  <si>
    <t xml:space="preserve">Indeks KKA: JET   ·   Standar: SA 240   ·   Fase: 2 · Fieldwork</t>
  </si>
  <si>
    <t xml:space="preserve">Uji jurnal berisiko fraud (SA 240): manual, akhir periode, round-number, akun tak biasa.</t>
  </si>
  <si>
    <t xml:space="preserve">No Jurnal</t>
  </si>
  <si>
    <t xml:space="preserve">Tanggal</t>
  </si>
  <si>
    <t xml:space="preserve">Debit (Rp)</t>
  </si>
  <si>
    <t xml:space="preserve">Kredit (Rp)</t>
  </si>
  <si>
    <t xml:space="preserve">Pembuat</t>
  </si>
  <si>
    <t xml:space="preserve">Kriteria Risiko</t>
  </si>
  <si>
    <t xml:space="preserve">JV-1188</t>
  </si>
  <si>
    <t xml:space="preserve">31/12/2025</t>
  </si>
  <si>
    <t xml:space="preserve">Pengakuan pendapatan akhir tahun</t>
  </si>
  <si>
    <t xml:space="preserve">Staf Acc</t>
  </si>
  <si>
    <t xml:space="preserve">Manual · akhir periode</t>
  </si>
  <si>
    <t xml:space="preserve">☐ Uji</t>
  </si>
  <si>
    <t xml:space="preserve">JV-1190</t>
  </si>
  <si>
    <t xml:space="preserve">Reklas beban ke aset (kapitalisasi)</t>
  </si>
  <si>
    <t xml:space="preserve">Manajer Keu</t>
  </si>
  <si>
    <t xml:space="preserve">Manual · akun tak biasa</t>
  </si>
  <si>
    <t xml:space="preserve">JV-1201</t>
  </si>
  <si>
    <t xml:space="preserve">30/12/2025</t>
  </si>
  <si>
    <t xml:space="preserve">Penyesuaian persediaan round number</t>
  </si>
  <si>
    <t xml:space="preserve">Round number</t>
  </si>
  <si>
    <t xml:space="preserve">JV-1207</t>
  </si>
  <si>
    <t xml:space="preserve">Jurnal balik pendapatan</t>
  </si>
  <si>
    <t xml:space="preserve">Reversal · cut-off</t>
  </si>
  <si>
    <t xml:space="preserve">JV-1215</t>
  </si>
  <si>
    <t xml:space="preserve">02/01/2026</t>
  </si>
  <si>
    <t xml:space="preserve">Posting setelah tutup buku</t>
  </si>
  <si>
    <t xml:space="preserve">Post-closing</t>
  </si>
  <si>
    <t xml:space="preserve">Kriteria seleksi (SA 240.32): jurnal ke akun kas/pendapatan, di luar jam kerja, personel tak lazim, deskripsi minim, atau membalik segera setelah periode. Tiap jurnal terpilih ditelusuri ke dokumen pendukung.</t>
  </si>
  <si>
    <t xml:space="preserve">LOG KONFIRMASI EKSTERNAL</t>
  </si>
  <si>
    <t xml:space="preserve">Indeks KKA: CONF   ·   Standar: SA 505   ·   Fase: 2 · Fieldwork</t>
  </si>
  <si>
    <t xml:space="preserve">Register konfirmasi yang dikendalikan auditor: bank, piutang, utang, hukum (SA 505).</t>
  </si>
  <si>
    <t xml:space="preserve">Pihak / Akun</t>
  </si>
  <si>
    <t xml:space="preserve">Jenis</t>
  </si>
  <si>
    <t xml:space="preserve">Tgl Kirim</t>
  </si>
  <si>
    <t xml:space="preserve">Tgl Terima</t>
  </si>
  <si>
    <t xml:space="preserve">Saldo Buku (Rp)</t>
  </si>
  <si>
    <t xml:space="preserve">Saldo Konfirm (Rp)</t>
  </si>
  <si>
    <t xml:space="preserve">Selisih / Tindak Lanjut</t>
  </si>
  <si>
    <t xml:space="preserve">Bank ABC - Rekening Giro</t>
  </si>
  <si>
    <t xml:space="preserve">Positif</t>
  </si>
  <si>
    <t xml:space="preserve">Rekonsiliasi ke buku</t>
  </si>
  <si>
    <t xml:space="preserve">PT Pelanggan Utama</t>
  </si>
  <si>
    <t xml:space="preserve">Prosedur alternatif bila tak balas</t>
  </si>
  <si>
    <t xml:space="preserve">PT Pemasok Sejahtera</t>
  </si>
  <si>
    <t xml:space="preserve">Konsultan Hukum</t>
  </si>
  <si>
    <t xml:space="preserve">Litigasi/klaim (SA 501)</t>
  </si>
  <si>
    <t xml:space="preserve">Konfirmasi dikirim &amp; diterima langsung oleh auditor (kendali penuh, SA 505). Non-respons konfirmasi positif → prosedur alternatif. Selisih diinvestigasi &amp; dikaitkan ke lead area.</t>
  </si>
  <si>
    <t xml:space="preserve">DAFTAR PIHAK BERELASI &amp; TRANSAKSI</t>
  </si>
  <si>
    <t xml:space="preserve">Indeks KKA: RPT   ·   Standar: SA 550 · PSAK 7   ·   Fase: 2 · Fieldwork</t>
  </si>
  <si>
    <t xml:space="preserve">Identifikasi pihak berelasi, sifat &amp; nilai transaksi, kewajaran &amp; pengungkapan (SA 550 · PSAK 7).</t>
  </si>
  <si>
    <t xml:space="preserve">Nama Pihak Berelasi</t>
  </si>
  <si>
    <t xml:space="preserve">Hubungan</t>
  </si>
  <si>
    <t xml:space="preserve">Sifat Transaksi</t>
  </si>
  <si>
    <t xml:space="preserve">Arm's length?</t>
  </si>
  <si>
    <t xml:space="preserve">Pengungkapan (PSAK 7)</t>
  </si>
  <si>
    <t xml:space="preserve">PT Induk Sentosa</t>
  </si>
  <si>
    <t xml:space="preserve">Entitas induk</t>
  </si>
  <si>
    <t xml:space="preserve">Pinjaman antar-perusahaan</t>
  </si>
  <si>
    <t xml:space="preserve">☐ Ya  ☐ Tidak</t>
  </si>
  <si>
    <t xml:space="preserve">☐ Memadai</t>
  </si>
  <si>
    <t xml:space="preserve">Manajemen kunci</t>
  </si>
  <si>
    <t xml:space="preserve">Personel manajemen kunci</t>
  </si>
  <si>
    <t xml:space="preserve">Kompensasi &amp; bonus</t>
  </si>
  <si>
    <t xml:space="preserve">PT Afiliasi Distribusi</t>
  </si>
  <si>
    <t xml:space="preserve">Sepengendali</t>
  </si>
  <si>
    <t xml:space="preserve">Penjualan barang</t>
  </si>
  <si>
    <t xml:space="preserve">Transaksi pihak berelasi berisiko fraud (SA 550). Uji kewajaran nilai (arm's length), otorisasi &amp; kecukupan pengungkapan sesuai PSAK 7.</t>
  </si>
  <si>
    <t xml:space="preserve">SALDO AWAL &amp; ANGKA KOMPARATIF</t>
  </si>
  <si>
    <t xml:space="preserve">Indeks KKA: OB   ·   Standar: SA 510 · SA 710   ·   Fase: 2 · Fieldwork</t>
  </si>
  <si>
    <t xml:space="preserve">Keyakinan atas saldo awal untuk perikatan tahun pertama/berlanjut (SA 510 · SA 710).</t>
  </si>
  <si>
    <t xml:space="preserve">Saldo awal berasal dari LK auditan tahun lalu / diverifikasi memadai.</t>
  </si>
  <si>
    <t xml:space="preserve">Kebijakan akuntansi diterapkan konsisten antar-periode.</t>
  </si>
  <si>
    <t xml:space="preserve">Tidak ada salah saji saldo awal yang berdampak material tahun berjalan.</t>
  </si>
  <si>
    <t xml:space="preserve">Komunikasi &amp; telaah kertas kerja auditor pendahulu (bila klien baru).</t>
  </si>
  <si>
    <t xml:space="preserve">Angka komparatif konsisten &amp; tersaji sesuai (SA 710).</t>
  </si>
  <si>
    <t xml:space="preserve">RINGKASAN SALAH SAJI (SAD)</t>
  </si>
  <si>
    <t xml:space="preserve">Indeks KKA: SAD   ·   Standar: SA 450   ·   Fase: 3 · Review</t>
  </si>
  <si>
    <t xml:space="preserve">Akumulasi salah saji corrected &amp; uncorrected dievaluasi terhadap materialitas (SA 450).</t>
  </si>
  <si>
    <t xml:space="preserve">Dampak Laba (Rp)</t>
  </si>
  <si>
    <t xml:space="preserve">Dampak Aset (Rp)</t>
  </si>
  <si>
    <t xml:space="preserve">Dampak Liab (Rp)</t>
  </si>
  <si>
    <t xml:space="preserve">Faktor</t>
  </si>
  <si>
    <t xml:space="preserve">M-01</t>
  </si>
  <si>
    <t xml:space="preserve">Koreksi cut-off persediaan (AJE-01)</t>
  </si>
  <si>
    <t xml:space="preserve">Corrected</t>
  </si>
  <si>
    <t xml:space="preserve">M-02</t>
  </si>
  <si>
    <t xml:space="preserve">Tambahan CKPN piutang (AJE-02)</t>
  </si>
  <si>
    <t xml:space="preserve">M-03</t>
  </si>
  <si>
    <t xml:space="preserve">Pembalikan piutang fiktif (AJE-03)</t>
  </si>
  <si>
    <t xml:space="preserve">M-04</t>
  </si>
  <si>
    <t xml:space="preserve">Akrual bonus manajemen (AJE-04)</t>
  </si>
  <si>
    <t xml:space="preserve">M-05</t>
  </si>
  <si>
    <t xml:space="preserve">Penyusutan tambahan (AJE-05)</t>
  </si>
  <si>
    <t xml:space="preserve">M-06</t>
  </si>
  <si>
    <t xml:space="preserve">Estimasi beban garansi belum dicatat</t>
  </si>
  <si>
    <t xml:space="preserve">Uncorrected</t>
  </si>
  <si>
    <t xml:space="preserve">M-07</t>
  </si>
  <si>
    <t xml:space="preserve">Klasifikasi beban (judgmental)</t>
  </si>
  <si>
    <t xml:space="preserve">Total Corrected (dampak laba)</t>
  </si>
  <si>
    <t xml:space="preserve">Total Uncorrected (dampak laba)</t>
  </si>
  <si>
    <t xml:space="preserve">EVALUASI TERHADAP MATERIALITAS</t>
  </si>
  <si>
    <t xml:space="preserve">Total uncorrected (absolut)</t>
  </si>
  <si>
    <t xml:space="preserve">Overall Materiality (P1)</t>
  </si>
  <si>
    <t xml:space="preserve">Uncorrected &lt; OM ?</t>
  </si>
  <si>
    <t xml:space="preserve">Kesimpulan: salah saji tidak dikoreksi, individual &amp; agregat, [di bawah/melampaui] materialitas keseluruhan. Dampak opini dievaluasi di 'CONC'. Uncorrected dikomunikasikan ke TCWG (SA 260) &amp; dimuat dalam MRL (SA 580).</t>
  </si>
  <si>
    <t xml:space="preserve">CHECKLIST REVIU &amp; PENYELESAIAN AUDIT</t>
  </si>
  <si>
    <t xml:space="preserve">Indeks KKA: RVW   ·   Standar: SA 220 · SA 230   ·   Fase: 3 · Review</t>
  </si>
  <si>
    <t xml:space="preserve">Gate Fase 3: kecukupan bukti &amp; dokumentasi sebelum pelaporan (SA 220 · SA 230).</t>
  </si>
  <si>
    <t xml:space="preserve">Seluruh area audit memiliki kesimpulan yang ditandatangani penyusun &amp; reviewer.</t>
  </si>
  <si>
    <t xml:space="preserve">Seluruh review notes telah ditutup (cleared).</t>
  </si>
  <si>
    <t xml:space="preserve">Bukti audit cukup &amp; tepat mendukung opini (SA 500).</t>
  </si>
  <si>
    <t xml:space="preserve">Dokumentasi WP lengkap, dapat ditelusuri &amp; di-cross-reference (SA 230).</t>
  </si>
  <si>
    <t xml:space="preserve">Konsultasi atas hal sulit/kontroversial terdokumentasi.</t>
  </si>
  <si>
    <t xml:space="preserve">Materialitas ditinjau ulang atas informasi baru (SA 320).</t>
  </si>
  <si>
    <t xml:space="preserve">Salah saji terakumulasi dievaluasi (SA 450 → KKA SAD).</t>
  </si>
  <si>
    <t xml:space="preserve">Going concern &amp; peristiwa kemudian ditinjau ulang.</t>
  </si>
  <si>
    <t xml:space="preserve">ENGAGEMENT QUALITY REVIEW (EQR)</t>
  </si>
  <si>
    <t xml:space="preserve">Indeks KKA: EQR   ·   Standar: ISQM 2 · SA 220   ·   Fase: 3 · Review</t>
  </si>
  <si>
    <t xml:space="preserve">Reviu mutu perikatan objektif sebelum tanggal laporan (ISQM 2 · SA 220).</t>
  </si>
  <si>
    <t xml:space="preserve">EQR reviewer ditunjuk &amp; independen dari tim perikatan.</t>
  </si>
  <si>
    <t xml:space="preserve">Pertimbangan signifikan tim &amp; kesimpulannya ditelaah.</t>
  </si>
  <si>
    <t xml:space="preserve">Ketepatan jenis opini yang diusulkan ditelaah.</t>
  </si>
  <si>
    <t xml:space="preserve">Isu independensi, etika &amp; konsultasi ditelaah.</t>
  </si>
  <si>
    <t xml:space="preserve">Salah saji tidak dikoreksi &amp; dampaknya ditelaah.</t>
  </si>
  <si>
    <t xml:space="preserve">EQR selesai sebelum tanggal laporan auditor.</t>
  </si>
  <si>
    <t xml:space="preserve">EVALUASI KELANGSUNGAN USAHA</t>
  </si>
  <si>
    <t xml:space="preserve">Indeks KKA: GC   ·   Standar: SA 570   ·   Fase: 4 · Reporting</t>
  </si>
  <si>
    <t xml:space="preserve">Identifikasi peristiwa/kondisi yang menimbulkan keraguan signifikan atas going concern (SA 570).</t>
  </si>
  <si>
    <t xml:space="preserve">Ada</t>
  </si>
  <si>
    <t xml:space="preserve">Catatan / Mitigasi Manajemen</t>
  </si>
  <si>
    <t xml:space="preserve">Defisiensi modal kerja / arus kas operasi negatif berkelanjutan.</t>
  </si>
  <si>
    <t xml:space="preserve">Rugi operasi berulang / penurunan ekuitas signifikan.</t>
  </si>
  <si>
    <t xml:space="preserve">Wanprestasi atau pelanggaran covenant pinjaman.</t>
  </si>
  <si>
    <t xml:space="preserve">Kesulitan memperoleh pendanaan / penarikan dukungan kreditur.</t>
  </si>
  <si>
    <t xml:space="preserve">Ketergantungan pada satu pelanggan/pemasok utama.</t>
  </si>
  <si>
    <t xml:space="preserve">Perkara hukum/regulasi yang dapat mengganggu operasi.</t>
  </si>
  <si>
    <t xml:space="preserve">Kehilangan pasar/lisensi/pemasok kunci.</t>
  </si>
  <si>
    <t xml:space="preserve">KESIMPULAN GOING CONCERN</t>
  </si>
  <si>
    <t xml:space="preserve">☐ Asumsi tepat tanpa ketidakpastian material   ☐ Tepat dengan ketidakpastian material (paragraf khusus)   ☐ Tidak tepat</t>
  </si>
  <si>
    <t xml:space="preserve">PERISTIWA SETELAH PERIODE PELAPORAN</t>
  </si>
  <si>
    <t xml:space="preserve">Indeks KKA: SUB   ·   Standar: SA 560   ·   Fase: 4 · Reporting</t>
  </si>
  <si>
    <t xml:space="preserve">Identifikasi adjusting vs non-adjusting events sampai tanggal laporan auditor (SA 560 · PSAK 8).</t>
  </si>
  <si>
    <t xml:space="preserve">Deskripsi Peristiwa</t>
  </si>
  <si>
    <t xml:space="preserve">Dampak (Rp)</t>
  </si>
  <si>
    <t xml:space="preserve">Perlakuan</t>
  </si>
  <si>
    <t xml:space="preserve">10/01/2026</t>
  </si>
  <si>
    <t xml:space="preserve">Penagihan piutang pasca-neraca dari pelanggan macet</t>
  </si>
  <si>
    <t xml:space="preserve">Adjusting</t>
  </si>
  <si>
    <t xml:space="preserve">Dukung penilaian CKPN</t>
  </si>
  <si>
    <t xml:space="preserve">18/01/2026</t>
  </si>
  <si>
    <t xml:space="preserve">Kebakaran gudang cabang (tidak material)</t>
  </si>
  <si>
    <t xml:space="preserve">Non-adjusting</t>
  </si>
  <si>
    <t xml:space="preserve">Pengungkapan saja</t>
  </si>
  <si>
    <t xml:space="preserve">25/02/2026</t>
  </si>
  <si>
    <t xml:space="preserve">Penerbitan obligasi baru</t>
  </si>
  <si>
    <t xml:space="preserve">Prosedur (SA 560.7): telaah notulen RUPS/Direksi pasca-neraca, LK interim terkini, surat konsultan hukum, inquiry manajemen, &amp; telaah penerimaan/pembayaran signifikan setelah tanggal neraca.</t>
  </si>
  <si>
    <t xml:space="preserve">SURAT REPRESENTASI MANAJEMEN</t>
  </si>
  <si>
    <t xml:space="preserve">Indeks KKA: MRL   ·   Standar: SA 580   ·   Fase: 4 · Reporting</t>
  </si>
  <si>
    <t xml:space="preserve">Daftar representasi tertulis wajib dari manajemen (SA 580).</t>
  </si>
  <si>
    <t xml:space="preserve">Manajemen mengakui tanggung jawab atas penyusunan &amp; kewajaran LK.</t>
  </si>
  <si>
    <t xml:space="preserve">Seluruh transaksi telah dicatat &amp; tercermin dalam LK.</t>
  </si>
  <si>
    <t xml:space="preserve">Manajemen memberikan informasi &amp; akses yang lengkap.</t>
  </si>
  <si>
    <t xml:space="preserve">Kecurangan/dugaan kecurangan yang diketahui telah diungkapkan.</t>
  </si>
  <si>
    <t xml:space="preserve">Ketidakpatuhan hukum &amp; regulasi telah diungkapkan.</t>
  </si>
  <si>
    <t xml:space="preserve">Seluruh pihak berelasi &amp; transaksinya telah diungkapkan (PSAK 7).</t>
  </si>
  <si>
    <t xml:space="preserve">Peristiwa kemudian yang relevan telah diungkapkan.</t>
  </si>
  <si>
    <t xml:space="preserve">Asumsi &amp; estimasi akuntansi signifikan wajar.</t>
  </si>
  <si>
    <t xml:space="preserve">MRL bertanggal sama/dekat tanggal laporan auditor.</t>
  </si>
  <si>
    <t xml:space="preserve">KOMUNIKASI DENGAN TCWG</t>
  </si>
  <si>
    <t xml:space="preserve">Indeks KKA: TCWG   ·   Standar: SA 260 · SA 265   ·   Fase: 4 · Reporting</t>
  </si>
  <si>
    <t xml:space="preserve">Komunikasi hal signifikan &amp; defisiensi pengendalian ke pihak tata kelola (SA 260 · SA 265).</t>
  </si>
  <si>
    <t xml:space="preserve">Tanggung jawab auditor &amp; lingkup/waktu audit dikomunikasikan.</t>
  </si>
  <si>
    <t xml:space="preserve">Temuan signifikan audit &amp; pandangan atas kualitas akuntansi dikomunikasikan.</t>
  </si>
  <si>
    <t xml:space="preserve">Defisiensi signifikan pengendalian internal dikomunikasikan tertulis (SA 265).</t>
  </si>
  <si>
    <t xml:space="preserve">Salah saji tidak dikoreksi dikomunikasikan &amp; diminta koreksi.</t>
  </si>
  <si>
    <t xml:space="preserve">Pernyataan independensi auditor disampaikan ke TCWG.</t>
  </si>
  <si>
    <t xml:space="preserve">Hal audit utama (KAM) didiskusikan bila relevan (SA 701).</t>
  </si>
  <si>
    <t xml:space="preserve">KESIMPULAN AUDIT &amp; PENENTUAN OPINI</t>
  </si>
  <si>
    <t xml:space="preserve">Indeks KKA: CONC   ·   Standar: SA 700 · 705 · 706   ·   Fase: 4 · Reporting</t>
  </si>
  <si>
    <t xml:space="preserve">Rekap kesimpulan per area &amp; faktor opini (SA 700/705/706). Opini final diputuskan Partner.</t>
  </si>
  <si>
    <t xml:space="preserve">REKAP KESIMPULAN PER AREA</t>
  </si>
  <si>
    <t xml:space="preserve">Kesimpulan</t>
  </si>
  <si>
    <t xml:space="preserve">Isu Terbuka</t>
  </si>
  <si>
    <t xml:space="preserve">Wajar — tidak ada salah saji material</t>
  </si>
  <si>
    <t xml:space="preserve">Sewa Hak-Guna PSAK 73</t>
  </si>
  <si>
    <t xml:space="preserve">FAKTOR PENENTUAN OPINI</t>
  </si>
  <si>
    <t xml:space="preserve">Salah saji tidak dikoreksi vs materialitas (SAD)</t>
  </si>
  <si>
    <t xml:space="preserve">Di bawah materialitas → tidak berdampak material</t>
  </si>
  <si>
    <t xml:space="preserve">Pembatasan lingkup (scope limitation)</t>
  </si>
  <si>
    <t xml:space="preserve">Tidak ada</t>
  </si>
  <si>
    <t xml:space="preserve">Ketidakpastian going concern (SA 570)</t>
  </si>
  <si>
    <t xml:space="preserve">Tidak ada ketidakpastian material</t>
  </si>
  <si>
    <t xml:space="preserve">Peristiwa kemudian (SA 560)</t>
  </si>
  <si>
    <t xml:space="preserve">Telah ditangani / diungkapkan memadai</t>
  </si>
  <si>
    <t xml:space="preserve">Kepatuhan kerangka pelaporan (PSAK)</t>
  </si>
  <si>
    <t xml:space="preserve">Patuh dalam semua hal material</t>
  </si>
  <si>
    <t xml:space="preserve">Konsistensi &amp; komparatif (SA 710)</t>
  </si>
  <si>
    <t xml:space="preserve">Konsisten dengan periode lalu</t>
  </si>
  <si>
    <t xml:space="preserve">Informasi lain (SA 720)</t>
  </si>
  <si>
    <t xml:space="preserve">Tidak ada inkonsistensi material</t>
  </si>
  <si>
    <t xml:space="preserve">USULAN OPINI (rekomendasi tim — final oleh Partner)</t>
  </si>
  <si>
    <t xml:space="preserve">☑ Wajar Tanpa Modifikasian (WTM)   ☐ WDP   ☐ Tidak Wajar (TW)   ☐ Tidak Menyatakan Pendapat (TMP)</t>
  </si>
  <si>
    <t xml:space="preserve">Paragraf tambahan: ☐ Hal Audit Utama/KAM (SA 701)   ☐ Penekanan Suatu Hal (SA 706)   ☐ Hal Lain (SA 706)</t>
  </si>
  <si>
    <t xml:space="preserve">PENYELESAIAN &amp; PENGARSIPAN FILE</t>
  </si>
  <si>
    <t xml:space="preserve">Indeks KKA: ARCH   ·   Standar: SA 230 · ISQM 1   ·   Fase: 5 · Archive</t>
  </si>
  <si>
    <t xml:space="preserve">Gate Fase 5: perakitan file final &amp; retensi (SA 230 · ISQM 1).</t>
  </si>
  <si>
    <t xml:space="preserve">File audit dirakit lengkap dalam 60 hari sejak tanggal laporan.</t>
  </si>
  <si>
    <t xml:space="preserve">Tidak ada perubahan WP setelah tanggal assembly tanpa dokumentasi (siapa/kapan/mengapa).</t>
  </si>
  <si>
    <t xml:space="preserve">Periode retensi (min. sesuai kebijakan firma/regulasi) ditetapkan.</t>
  </si>
  <si>
    <t xml:space="preserve">Akses, kerahasiaan &amp; integritas file dijaga (lock).</t>
  </si>
  <si>
    <t xml:space="preserve">Daftar isi &amp; indeks KKA final lengkap &amp; konsisten.</t>
  </si>
  <si>
    <t xml:space="preserve">PETA STANDAR SA PER FASE</t>
  </si>
  <si>
    <t xml:space="preserve">Indeks KKA: REF   ·   Standar: SA (SPAP)   ·   Fase: Referensi</t>
  </si>
  <si>
    <t xml:space="preserve">Acuan standar audit (SPAP) relevan di tiap fase. Sumber: SPAP-Summary firma.</t>
  </si>
  <si>
    <t xml:space="preserve">Tahapan</t>
  </si>
  <si>
    <t xml:space="preserve">Standar SA / PSAK relevan</t>
  </si>
  <si>
    <t xml:space="preserve">Fase 0</t>
  </si>
  <si>
    <t xml:space="preserve">Acceptance</t>
  </si>
  <si>
    <t xml:space="preserve">SA 210 (syarat perikatan) · SA 220 (mutu perikatan) · ISQM 1 (mutu KAP)</t>
  </si>
  <si>
    <t xml:space="preserve">Fase 1</t>
  </si>
  <si>
    <t xml:space="preserve">Planning</t>
  </si>
  <si>
    <t xml:space="preserve">SA 300 (perencanaan) · SA 315 (pemahaman &amp; risiko) · SA 320 (materialitas) · SA 240 (fraud — pendapatan default) · SA 570 (going concern awal)</t>
  </si>
  <si>
    <t xml:space="preserve">Fase 2</t>
  </si>
  <si>
    <t xml:space="preserve">Fieldwork</t>
  </si>
  <si>
    <t xml:space="preserve">SA 330 (respons risiko) · SA 500 (bukti) · SA 501 (persediaan/litigasi) · SA 505 (konfirmasi) · SA 520 (analitis) · SA 530 (sampling) · SA 540 (estimasi) · SA 230 (dokumentasi)</t>
  </si>
  <si>
    <t xml:space="preserve">Fase 3</t>
  </si>
  <si>
    <t xml:space="preserve">Review</t>
  </si>
  <si>
    <t xml:space="preserve">SA 220 (review berjenjang) · SA 230 (kecukupan WP) · SA 450 (evaluasi salah saji)</t>
  </si>
  <si>
    <t xml:space="preserve">Fase 4</t>
  </si>
  <si>
    <t xml:space="preserve">Reporting</t>
  </si>
  <si>
    <t xml:space="preserve">SA 560 (subsequent events) · SA 580 (MRL) · SA 570 (going concern final) · SA 700 (laporan) · SA 705/706 (modifikasi/penekanan) · SA 701 (KAM) · SA 260 (TCWG)</t>
  </si>
  <si>
    <t xml:space="preserve">Fase 5</t>
  </si>
  <si>
    <t xml:space="preserve">Archive</t>
  </si>
  <si>
    <t xml:space="preserve">SA 230 (kelengkapan &amp; retensi) · ISQM 1 (lock &amp; arsip 60 hari)</t>
  </si>
  <si>
    <t xml:space="preserve">Prinsip non-negosiasi: output ini DRAFT; judgment, opini &amp; tanda tangan tetap pada Manajer/Partner. Gate antar-fase ditegakkan. Nol fabrikasi: angka dari TB/WTB nyata.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</si>
</sst>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"/>
    <numFmt numFmtId="167" formatCode="0.0\x"/>
    <numFmt numFmtId="168" formatCode="0.0"/>
    <numFmt numFmtId="169" formatCode="0.00"/>
    <numFmt numFmtId="170" formatCode="#,##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A4A"/>
      <name val="Arial"/>
      <family val="0"/>
      <charset val="1"/>
    </font>
    <font>
      <i val="true"/>
      <sz val="9"/>
      <color rgb="FF33475B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33475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8"/>
      <color rgb="FF33475B"/>
      <name val="Arial"/>
      <family val="0"/>
      <charset val="1"/>
    </font>
    <font>
      <b val="true"/>
      <u val="single"/>
      <sz val="11"/>
      <color rgb="FF1B6CA8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9"/>
      <color rgb="FF33475B"/>
      <name val="Arial"/>
      <family val="0"/>
      <charset val="1"/>
    </font>
    <font>
      <b val="true"/>
      <sz val="14"/>
      <color rgb="FF0F2A4A"/>
      <name val="Arial"/>
      <family val="0"/>
      <charset val="1"/>
    </font>
    <font>
      <sz val="9"/>
      <color rgb="FF33475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u val="single"/>
      <sz val="9"/>
      <color rgb="FF1B6CA8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33475B"/>
      <name val="Arial"/>
      <family val="0"/>
      <charset val="1"/>
    </font>
    <font>
      <b val="true"/>
      <sz val="9"/>
      <color rgb="FF0F2A4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F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C0392B"/>
      <name val="Arial"/>
      <family val="0"/>
      <charset val="1"/>
    </font>
    <font>
      <b val="true"/>
      <sz val="8"/>
      <color rgb="FF1B6CA8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B6CA8"/>
      <name val="Arial"/>
      <family val="0"/>
      <charset val="1"/>
    </font>
    <font>
      <b val="true"/>
      <sz val="9"/>
      <color rgb="FF1E7A46"/>
      <name val="Arial"/>
      <family val="0"/>
      <charset val="1"/>
    </font>
    <font>
      <sz val="9"/>
      <color rgb="FF1E7A46"/>
      <name val="Arial"/>
      <family val="0"/>
      <charset val="1"/>
    </font>
    <font>
      <sz val="8"/>
      <color rgb="FF1E7A46"/>
      <name val="Arial"/>
      <family val="0"/>
      <charset val="1"/>
    </font>
    <font>
      <i val="true"/>
      <sz val="8"/>
      <color rgb="FF33475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2A4A"/>
        <bgColor rgb="FF003300"/>
      </patternFill>
    </fill>
    <fill>
      <patternFill patternType="solid">
        <fgColor rgb="FF1B6CA8"/>
        <bgColor rgb="FF008080"/>
      </patternFill>
    </fill>
    <fill>
      <patternFill patternType="solid">
        <fgColor rgb="FFF2F5F8"/>
        <bgColor rgb="FFFFFFFF"/>
      </patternFill>
    </fill>
    <fill>
      <patternFill patternType="solid">
        <fgColor rgb="FFFFFFFF"/>
        <bgColor rgb="FFF2F5F8"/>
      </patternFill>
    </fill>
    <fill>
      <patternFill patternType="solid">
        <fgColor rgb="FFFFF4D6"/>
        <bgColor rgb="FFF2F5F8"/>
      </patternFill>
    </fill>
    <fill>
      <patternFill patternType="solid">
        <fgColor rgb="FF1E7A46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33475B"/>
        <bgColor rgb="FF3333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  <border diagonalUp="false" diagonalDown="false">
      <left style="thin">
        <color rgb="FFD9DEE5"/>
      </left>
      <right/>
      <top style="thin">
        <color rgb="FFD9DEE5"/>
      </top>
      <bottom style="thin">
        <color rgb="FFD9DEE5"/>
      </bottom>
      <diagonal/>
    </border>
    <border diagonalUp="false" diagonalDown="false">
      <left style="thin">
        <color rgb="FFD9DEE5"/>
      </left>
      <right/>
      <top style="thin">
        <color rgb="FFD9DEE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6"/>
      <rgbColor rgb="FFC0C0C0"/>
      <rgbColor rgb="FF808080"/>
      <rgbColor rgb="FF9999FF"/>
      <rgbColor rgb="FF993366"/>
      <rgbColor rgb="FFFFF4D6"/>
      <rgbColor rgb="FFF2F5F8"/>
      <rgbColor rgb="FF660066"/>
      <rgbColor rgb="FFFF8080"/>
      <rgbColor rgb="FF1B6CA8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A4A"/>
      <rgbColor rgb="FF339966"/>
      <rgbColor rgb="FF003300"/>
      <rgbColor rgb="FF333300"/>
      <rgbColor rgb="FFC0392B"/>
      <rgbColor rgb="FF993366"/>
      <rgbColor rgb="FF333399"/>
      <rgbColor rgb="FF334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<Relationship Id="rId2" Type="http://schemas.openxmlformats.org/officeDocument/2006/relationships/hyperlink" Target="Asseris%20-%20Template%20Kertas%20Kerja%20Audit.xlsx" TargetMode="External"/><Relationship Id="rId3" Type="http://schemas.openxmlformats.org/officeDocument/2006/relationships/hyperlink" Target="Asseris%20-%20Template%20Kertas%20Kerja%20Audit.xlsx" TargetMode="External"/><Relationship Id="rId4" Type="http://schemas.openxmlformats.org/officeDocument/2006/relationships/hyperlink" Target="Asseris%20-%20Template%20Kertas%20Kerja%20Audit.xlsx" TargetMode="External"/><Relationship Id="rId5" Type="http://schemas.openxmlformats.org/officeDocument/2006/relationships/hyperlink" Target="Asseris%20-%20Template%20Kertas%20Kerja%20Audit.xlsx" TargetMode="External"/><Relationship Id="rId6" Type="http://schemas.openxmlformats.org/officeDocument/2006/relationships/hyperlink" Target="Asseris%20-%20Template%20Kertas%20Kerja%20Audit.xlsx" TargetMode="External"/><Relationship Id="rId7" Type="http://schemas.openxmlformats.org/officeDocument/2006/relationships/hyperlink" Target="Asseris%20-%20Template%20Kertas%20Kerja%20Audit.xlsx" TargetMode="External"/><Relationship Id="rId8" Type="http://schemas.openxmlformats.org/officeDocument/2006/relationships/hyperlink" Target="Asseris%20-%20Template%20Kertas%20Kerja%20Audit.xlsx" TargetMode="External"/><Relationship Id="rId9" Type="http://schemas.openxmlformats.org/officeDocument/2006/relationships/hyperlink" Target="Asseris%20-%20Template%20Kertas%20Kerja%20Audit.xlsx" TargetMode="External"/><Relationship Id="rId10" Type="http://schemas.openxmlformats.org/officeDocument/2006/relationships/hyperlink" Target="Asseris%20-%20Template%20Kertas%20Kerja%20Audit.xlsx" TargetMode="External"/><Relationship Id="rId11" Type="http://schemas.openxmlformats.org/officeDocument/2006/relationships/hyperlink" Target="Asseris%20-%20Template%20Kertas%20Kerja%20Audit.xlsx" TargetMode="External"/><Relationship Id="rId12" Type="http://schemas.openxmlformats.org/officeDocument/2006/relationships/hyperlink" Target="Asseris%20-%20Template%20Kertas%20Kerja%20Audit.xlsx" TargetMode="External"/><Relationship Id="rId13" Type="http://schemas.openxmlformats.org/officeDocument/2006/relationships/hyperlink" Target="Asseris%20-%20Template%20Kertas%20Kerja%20Audit.xlsx" TargetMode="External"/><Relationship Id="rId14" Type="http://schemas.openxmlformats.org/officeDocument/2006/relationships/hyperlink" Target="Asseris%20-%20Template%20Kertas%20Kerja%20Audit.xlsx" TargetMode="External"/><Relationship Id="rId15" Type="http://schemas.openxmlformats.org/officeDocument/2006/relationships/hyperlink" Target="Asseris%20-%20Template%20Kertas%20Kerja%20Audit.xlsx" TargetMode="External"/><Relationship Id="rId16" Type="http://schemas.openxmlformats.org/officeDocument/2006/relationships/hyperlink" Target="Asseris%20-%20Template%20Kertas%20Kerja%20Audit.xlsx" TargetMode="External"/><Relationship Id="rId17" Type="http://schemas.openxmlformats.org/officeDocument/2006/relationships/hyperlink" Target="Asseris%20-%20Template%20Kertas%20Kerja%20Audit.xlsx" TargetMode="External"/><Relationship Id="rId18" Type="http://schemas.openxmlformats.org/officeDocument/2006/relationships/hyperlink" Target="Asseris%20-%20Template%20Kertas%20Kerja%20Audit.xlsx" TargetMode="External"/><Relationship Id="rId19" Type="http://schemas.openxmlformats.org/officeDocument/2006/relationships/hyperlink" Target="Asseris%20-%20Template%20Kertas%20Kerja%20Audit.xlsx" TargetMode="External"/><Relationship Id="rId20" Type="http://schemas.openxmlformats.org/officeDocument/2006/relationships/hyperlink" Target="Asseris%20-%20Template%20Kertas%20Kerja%20Audit.xlsx" TargetMode="External"/><Relationship Id="rId21" Type="http://schemas.openxmlformats.org/officeDocument/2006/relationships/hyperlink" Target="Asseris%20-%20Template%20Kertas%20Kerja%20Audit.xlsx" TargetMode="External"/><Relationship Id="rId22" Type="http://schemas.openxmlformats.org/officeDocument/2006/relationships/hyperlink" Target="Asseris%20-%20Template%20Kertas%20Kerja%20Audit.xlsx" TargetMode="External"/><Relationship Id="rId23" Type="http://schemas.openxmlformats.org/officeDocument/2006/relationships/hyperlink" Target="Asseris%20-%20Template%20Kertas%20Kerja%20Audit.xlsx" TargetMode="External"/><Relationship Id="rId24" Type="http://schemas.openxmlformats.org/officeDocument/2006/relationships/hyperlink" Target="Asseris%20-%20Template%20Kertas%20Kerja%20Audit.xlsx" TargetMode="External"/><Relationship Id="rId25" Type="http://schemas.openxmlformats.org/officeDocument/2006/relationships/hyperlink" Target="Asseris%20-%20Template%20Kertas%20Kerja%20Audit.xlsx" TargetMode="External"/><Relationship Id="rId26" Type="http://schemas.openxmlformats.org/officeDocument/2006/relationships/hyperlink" Target="Asseris%20-%20Template%20Kertas%20Kerja%20Audit.xlsx" TargetMode="External"/><Relationship Id="rId27" Type="http://schemas.openxmlformats.org/officeDocument/2006/relationships/hyperlink" Target="Asseris%20-%20Template%20Kertas%20Kerja%20Audit.xlsx" TargetMode="External"/><Relationship Id="rId28" Type="http://schemas.openxmlformats.org/officeDocument/2006/relationships/hyperlink" Target="Asseris%20-%20Template%20Kertas%20Kerja%20Audit.xlsx" TargetMode="External"/><Relationship Id="rId29" Type="http://schemas.openxmlformats.org/officeDocument/2006/relationships/hyperlink" Target="Asseris%20-%20Template%20Kertas%20Kerja%20Audit.xlsx" TargetMode="External"/><Relationship Id="rId30" Type="http://schemas.openxmlformats.org/officeDocument/2006/relationships/hyperlink" Target="Asseris%20-%20Template%20Kertas%20Kerja%20Audit.xlsx" TargetMode="External"/><Relationship Id="rId31" Type="http://schemas.openxmlformats.org/officeDocument/2006/relationships/hyperlink" Target="Asseris%20-%20Template%20Kertas%20Kerja%20Audit.xlsx" TargetMode="External"/><Relationship Id="rId32" Type="http://schemas.openxmlformats.org/officeDocument/2006/relationships/hyperlink" Target="Asseris%20-%20Template%20Kertas%20Kerja%20Audit.xlsx" TargetMode="External"/><Relationship Id="rId33" Type="http://schemas.openxmlformats.org/officeDocument/2006/relationships/hyperlink" Target="Asseris%20-%20Template%20Kertas%20Kerja%20Audit.xlsx" TargetMode="External"/><Relationship Id="rId34" Type="http://schemas.openxmlformats.org/officeDocument/2006/relationships/hyperlink" Target="Asseris%20-%20Template%20Kertas%20Kerja%20Audit.xlsx" TargetMode="External"/><Relationship Id="rId35" Type="http://schemas.openxmlformats.org/officeDocument/2006/relationships/hyperlink" Target="Asseris%20-%20Template%20Kertas%20Kerja%20Audit.xlsx" TargetMode="External"/><Relationship Id="rId36" Type="http://schemas.openxmlformats.org/officeDocument/2006/relationships/hyperlink" Target="Asseris%20-%20Template%20Kertas%20Kerja%20Audit.xlsx" TargetMode="External"/><Relationship Id="rId37" Type="http://schemas.openxmlformats.org/officeDocument/2006/relationships/hyperlink" Target="Asseris%20-%20Template%20Kertas%20Kerja%20Audit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hyperlink" Target="Asseris%20-%20Template%20Kertas%20Kerja%20Audit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5" min="4" style="0" width="24"/>
    <col collapsed="false" customWidth="true" hidden="false" outlineLevel="0" max="6" min="6" style="0" width="3"/>
  </cols>
  <sheetData>
    <row r="1" customFormat="false" ht="18" hidden="false" customHeight="true" outlineLevel="0" collapsed="false"/>
    <row r="2" customFormat="false" ht="18" hidden="false" customHeight="true" outlineLevel="0" collapsed="false">
      <c r="B2" s="1" t="s">
        <v>0</v>
      </c>
      <c r="C2" s="1"/>
      <c r="D2" s="1"/>
      <c r="E2" s="1"/>
    </row>
    <row r="3" customFormat="false" ht="18" hidden="false" customHeight="true" outlineLevel="0" collapsed="false">
      <c r="B3" s="2" t="s">
        <v>1</v>
      </c>
      <c r="C3" s="2"/>
      <c r="D3" s="2"/>
      <c r="E3" s="2"/>
    </row>
    <row r="4" customFormat="false" ht="18" hidden="false" customHeight="true" outlineLevel="0" collapsed="false"/>
    <row r="5" customFormat="false" ht="33.75" hidden="false" customHeight="true" outlineLevel="0" collapsed="false">
      <c r="B5" s="3" t="s">
        <v>2</v>
      </c>
      <c r="C5" s="3"/>
      <c r="D5" s="3"/>
      <c r="E5" s="3"/>
    </row>
    <row r="6" customFormat="false" ht="19.5" hidden="false" customHeight="true" outlineLevel="0" collapsed="false">
      <c r="B6" s="4" t="s">
        <v>3</v>
      </c>
      <c r="C6" s="4"/>
      <c r="D6" s="4"/>
      <c r="E6" s="4"/>
    </row>
    <row r="7" customFormat="false" ht="18" hidden="false" customHeight="true" outlineLevel="0" collapsed="false"/>
    <row r="8" customFormat="false" ht="18" hidden="false" customHeight="true" outlineLevel="0" collapsed="false"/>
    <row r="9" customFormat="false" ht="18" hidden="false" customHeight="true" outlineLevel="0" collapsed="false">
      <c r="B9" s="5" t="s">
        <v>4</v>
      </c>
      <c r="C9" s="6" t="s">
        <v>5</v>
      </c>
      <c r="D9" s="6"/>
      <c r="E9" s="6"/>
    </row>
    <row r="10" customFormat="false" ht="18" hidden="false" customHeight="true" outlineLevel="0" collapsed="false">
      <c r="B10" s="5" t="s">
        <v>6</v>
      </c>
      <c r="C10" s="6" t="s">
        <v>7</v>
      </c>
      <c r="D10" s="6"/>
      <c r="E10" s="6"/>
    </row>
    <row r="11" customFormat="false" ht="18" hidden="false" customHeight="true" outlineLevel="0" collapsed="false">
      <c r="B11" s="5" t="s">
        <v>8</v>
      </c>
      <c r="C11" s="6" t="s">
        <v>9</v>
      </c>
      <c r="D11" s="6"/>
      <c r="E11" s="6"/>
    </row>
    <row r="12" customFormat="false" ht="18" hidden="false" customHeight="true" outlineLevel="0" collapsed="false">
      <c r="B12" s="5" t="s">
        <v>10</v>
      </c>
      <c r="C12" s="6" t="s">
        <v>11</v>
      </c>
      <c r="D12" s="6"/>
      <c r="E12" s="6"/>
    </row>
    <row r="13" customFormat="false" ht="18" hidden="false" customHeight="true" outlineLevel="0" collapsed="false">
      <c r="B13" s="5" t="s">
        <v>12</v>
      </c>
      <c r="C13" s="6" t="s">
        <v>13</v>
      </c>
      <c r="D13" s="6"/>
      <c r="E13" s="6"/>
    </row>
    <row r="14" customFormat="false" ht="18" hidden="false" customHeight="true" outlineLevel="0" collapsed="false">
      <c r="B14" s="5" t="s">
        <v>14</v>
      </c>
      <c r="C14" s="6" t="s">
        <v>15</v>
      </c>
      <c r="D14" s="6"/>
      <c r="E14" s="6"/>
    </row>
    <row r="15" customFormat="false" ht="18" hidden="false" customHeight="true" outlineLevel="0" collapsed="false">
      <c r="B15" s="5" t="s">
        <v>16</v>
      </c>
      <c r="C15" s="6" t="s">
        <v>17</v>
      </c>
      <c r="D15" s="6"/>
      <c r="E15" s="6"/>
    </row>
    <row r="16" customFormat="false" ht="18" hidden="false" customHeight="true" outlineLevel="0" collapsed="false">
      <c r="B16" s="5" t="s">
        <v>18</v>
      </c>
      <c r="C16" s="6" t="s">
        <v>19</v>
      </c>
      <c r="D16" s="6"/>
      <c r="E16" s="6"/>
    </row>
    <row r="17" customFormat="false" ht="18" hidden="false" customHeight="true" outlineLevel="0" collapsed="false">
      <c r="B17" s="5" t="s">
        <v>20</v>
      </c>
      <c r="C17" s="6" t="s">
        <v>21</v>
      </c>
      <c r="D17" s="6"/>
      <c r="E17" s="6"/>
    </row>
    <row r="18" customFormat="false" ht="18" hidden="false" customHeight="true" outlineLevel="0" collapsed="false">
      <c r="B18" s="5" t="s">
        <v>22</v>
      </c>
      <c r="C18" s="6" t="s">
        <v>23</v>
      </c>
      <c r="D18" s="6"/>
      <c r="E18" s="6"/>
    </row>
    <row r="19" customFormat="false" ht="18" hidden="false" customHeight="true" outlineLevel="0" collapsed="false">
      <c r="B19" s="5" t="s">
        <v>24</v>
      </c>
      <c r="C19" s="6" t="s">
        <v>23</v>
      </c>
      <c r="D19" s="6"/>
      <c r="E19" s="6"/>
    </row>
    <row r="20" customFormat="false" ht="18" hidden="false" customHeight="true" outlineLevel="0" collapsed="false">
      <c r="B20" s="5" t="s">
        <v>25</v>
      </c>
      <c r="C20" s="6" t="s">
        <v>26</v>
      </c>
      <c r="D20" s="6"/>
      <c r="E20" s="6"/>
    </row>
    <row r="21" customFormat="false" ht="18" hidden="false" customHeight="true" outlineLevel="0" collapsed="false"/>
    <row r="22" customFormat="false" ht="18" hidden="false" customHeight="true" outlineLevel="0" collapsed="false">
      <c r="B22" s="7" t="s">
        <v>27</v>
      </c>
      <c r="C22" s="7"/>
      <c r="D22" s="7"/>
      <c r="E22" s="7"/>
    </row>
    <row r="23" customFormat="false" ht="39.75" hidden="false" customHeight="true" outlineLevel="0" collapsed="false">
      <c r="B23" s="8" t="s">
        <v>28</v>
      </c>
      <c r="C23" s="8"/>
      <c r="D23" s="8"/>
      <c r="E23" s="8"/>
    </row>
    <row r="24" customFormat="false" ht="18" hidden="false" customHeight="true" outlineLevel="0" collapsed="false">
      <c r="B24" s="8"/>
      <c r="C24" s="8"/>
      <c r="D24" s="8"/>
      <c r="E24" s="8"/>
    </row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>
      <c r="B27" s="9" t="s">
        <v>29</v>
      </c>
    </row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mergeCells count="18">
    <mergeCell ref="B2:E2"/>
    <mergeCell ref="B3:E3"/>
    <mergeCell ref="B5:E5"/>
    <mergeCell ref="B6:E6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22:E22"/>
    <mergeCell ref="B23:E24"/>
  </mergeCells>
  <hyperlinks>
    <hyperlink ref="B27" r:id="rId1" location="'INDEX%20KKA'!A1" display="➜ Buka Daftar Indeks KKA (INDEX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8" min="5" style="0" width="14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32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33</v>
      </c>
      <c r="B6" s="14"/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15" t="s">
        <v>34</v>
      </c>
      <c r="B7" s="15"/>
      <c r="C7" s="15"/>
      <c r="D7" s="15"/>
      <c r="E7" s="15"/>
      <c r="F7" s="15"/>
      <c r="G7" s="15"/>
      <c r="H7" s="15"/>
    </row>
    <row r="9" customFormat="false" ht="25.5" hidden="false" customHeight="true" outlineLevel="0" collapsed="false">
      <c r="A9" s="16" t="s">
        <v>35</v>
      </c>
      <c r="B9" s="16" t="s">
        <v>36</v>
      </c>
      <c r="C9" s="16" t="s">
        <v>37</v>
      </c>
      <c r="D9" s="16" t="s">
        <v>38</v>
      </c>
      <c r="E9" s="16" t="s">
        <v>39</v>
      </c>
      <c r="F9" s="16" t="s">
        <v>40</v>
      </c>
      <c r="G9" s="16" t="s">
        <v>41</v>
      </c>
      <c r="H9" s="16" t="s">
        <v>42</v>
      </c>
    </row>
    <row r="10" customFormat="false" ht="15" hidden="false" customHeight="false" outlineLevel="0" collapsed="false">
      <c r="A10" s="17" t="s">
        <v>43</v>
      </c>
      <c r="B10" s="18" t="s">
        <v>44</v>
      </c>
      <c r="C10" s="19" t="s">
        <v>45</v>
      </c>
      <c r="D10" s="20" t="s">
        <v>46</v>
      </c>
      <c r="E10" s="21" t="s">
        <v>47</v>
      </c>
      <c r="F10" s="19" t="s">
        <v>48</v>
      </c>
      <c r="G10" s="19" t="s">
        <v>49</v>
      </c>
      <c r="H10" s="19" t="s">
        <v>50</v>
      </c>
    </row>
    <row r="11" customFormat="false" ht="19.4" hidden="false" customHeight="false" outlineLevel="0" collapsed="false">
      <c r="A11" s="17" t="s">
        <v>51</v>
      </c>
      <c r="B11" s="18" t="s">
        <v>52</v>
      </c>
      <c r="C11" s="19" t="s">
        <v>53</v>
      </c>
      <c r="D11" s="20" t="s">
        <v>54</v>
      </c>
      <c r="E11" s="21" t="s">
        <v>55</v>
      </c>
      <c r="F11" s="19" t="s">
        <v>48</v>
      </c>
      <c r="G11" s="19" t="s">
        <v>49</v>
      </c>
      <c r="H11" s="19" t="s">
        <v>50</v>
      </c>
    </row>
    <row r="12" customFormat="false" ht="15" hidden="false" customHeight="false" outlineLevel="0" collapsed="false">
      <c r="A12" s="17" t="s">
        <v>56</v>
      </c>
      <c r="B12" s="18" t="s">
        <v>57</v>
      </c>
      <c r="C12" s="19" t="s">
        <v>53</v>
      </c>
      <c r="D12" s="20" t="s">
        <v>58</v>
      </c>
      <c r="E12" s="21" t="s">
        <v>55</v>
      </c>
      <c r="F12" s="19" t="s">
        <v>48</v>
      </c>
      <c r="G12" s="19" t="s">
        <v>49</v>
      </c>
      <c r="H12" s="19" t="s">
        <v>50</v>
      </c>
    </row>
    <row r="13" customFormat="false" ht="15" hidden="false" customHeight="false" outlineLevel="0" collapsed="false">
      <c r="A13" s="17" t="s">
        <v>59</v>
      </c>
      <c r="B13" s="18" t="s">
        <v>60</v>
      </c>
      <c r="C13" s="19" t="s">
        <v>61</v>
      </c>
      <c r="D13" s="20" t="s">
        <v>62</v>
      </c>
      <c r="E13" s="21" t="s">
        <v>55</v>
      </c>
      <c r="F13" s="19" t="s">
        <v>48</v>
      </c>
      <c r="G13" s="19" t="s">
        <v>49</v>
      </c>
      <c r="H13" s="19" t="s">
        <v>50</v>
      </c>
    </row>
    <row r="14" customFormat="false" ht="15" hidden="false" customHeight="false" outlineLevel="0" collapsed="false">
      <c r="A14" s="17" t="s">
        <v>63</v>
      </c>
      <c r="B14" s="18" t="s">
        <v>64</v>
      </c>
      <c r="C14" s="19" t="s">
        <v>61</v>
      </c>
      <c r="D14" s="20" t="s">
        <v>65</v>
      </c>
      <c r="E14" s="21" t="s">
        <v>55</v>
      </c>
      <c r="F14" s="19" t="s">
        <v>48</v>
      </c>
      <c r="G14" s="19" t="s">
        <v>49</v>
      </c>
      <c r="H14" s="19" t="s">
        <v>50</v>
      </c>
    </row>
    <row r="15" customFormat="false" ht="19.4" hidden="false" customHeight="false" outlineLevel="0" collapsed="false">
      <c r="A15" s="17" t="s">
        <v>66</v>
      </c>
      <c r="B15" s="18" t="s">
        <v>67</v>
      </c>
      <c r="C15" s="19" t="s">
        <v>61</v>
      </c>
      <c r="D15" s="20" t="s">
        <v>68</v>
      </c>
      <c r="E15" s="21" t="s">
        <v>55</v>
      </c>
      <c r="F15" s="19" t="s">
        <v>48</v>
      </c>
      <c r="G15" s="19" t="s">
        <v>49</v>
      </c>
      <c r="H15" s="19" t="s">
        <v>50</v>
      </c>
    </row>
    <row r="16" customFormat="false" ht="15" hidden="false" customHeight="false" outlineLevel="0" collapsed="false">
      <c r="A16" s="17" t="s">
        <v>69</v>
      </c>
      <c r="B16" s="18" t="s">
        <v>70</v>
      </c>
      <c r="C16" s="19" t="s">
        <v>61</v>
      </c>
      <c r="D16" s="20" t="s">
        <v>71</v>
      </c>
      <c r="E16" s="21" t="s">
        <v>55</v>
      </c>
      <c r="F16" s="19" t="s">
        <v>48</v>
      </c>
      <c r="G16" s="19" t="s">
        <v>49</v>
      </c>
      <c r="H16" s="19" t="s">
        <v>50</v>
      </c>
    </row>
    <row r="17" customFormat="false" ht="15" hidden="false" customHeight="false" outlineLevel="0" collapsed="false">
      <c r="A17" s="17" t="s">
        <v>72</v>
      </c>
      <c r="B17" s="18" t="s">
        <v>73</v>
      </c>
      <c r="C17" s="19" t="s">
        <v>61</v>
      </c>
      <c r="D17" s="20" t="s">
        <v>74</v>
      </c>
      <c r="E17" s="21" t="s">
        <v>55</v>
      </c>
      <c r="F17" s="19" t="s">
        <v>48</v>
      </c>
      <c r="G17" s="19" t="s">
        <v>49</v>
      </c>
      <c r="H17" s="19" t="s">
        <v>50</v>
      </c>
    </row>
    <row r="18" customFormat="false" ht="15" hidden="false" customHeight="false" outlineLevel="0" collapsed="false">
      <c r="A18" s="17" t="s">
        <v>75</v>
      </c>
      <c r="B18" s="18" t="s">
        <v>76</v>
      </c>
      <c r="C18" s="19" t="s">
        <v>77</v>
      </c>
      <c r="D18" s="20" t="s">
        <v>78</v>
      </c>
      <c r="E18" s="22" t="s">
        <v>79</v>
      </c>
      <c r="F18" s="19" t="s">
        <v>48</v>
      </c>
      <c r="G18" s="19" t="s">
        <v>49</v>
      </c>
      <c r="H18" s="19"/>
    </row>
    <row r="19" customFormat="false" ht="15" hidden="false" customHeight="false" outlineLevel="0" collapsed="false">
      <c r="A19" s="17" t="s">
        <v>80</v>
      </c>
      <c r="B19" s="18" t="s">
        <v>81</v>
      </c>
      <c r="C19" s="19" t="s">
        <v>77</v>
      </c>
      <c r="D19" s="20" t="s">
        <v>82</v>
      </c>
      <c r="E19" s="22" t="s">
        <v>79</v>
      </c>
      <c r="F19" s="19" t="s">
        <v>48</v>
      </c>
      <c r="G19" s="19" t="s">
        <v>49</v>
      </c>
      <c r="H19" s="19"/>
    </row>
    <row r="20" customFormat="false" ht="15" hidden="false" customHeight="false" outlineLevel="0" collapsed="false">
      <c r="A20" s="17" t="s">
        <v>83</v>
      </c>
      <c r="B20" s="18" t="s">
        <v>84</v>
      </c>
      <c r="C20" s="19" t="s">
        <v>77</v>
      </c>
      <c r="D20" s="20" t="s">
        <v>85</v>
      </c>
      <c r="E20" s="22" t="s">
        <v>79</v>
      </c>
      <c r="F20" s="19" t="s">
        <v>48</v>
      </c>
      <c r="G20" s="19" t="s">
        <v>49</v>
      </c>
      <c r="H20" s="19"/>
    </row>
    <row r="21" customFormat="false" ht="19.4" hidden="false" customHeight="false" outlineLevel="0" collapsed="false">
      <c r="A21" s="17" t="s">
        <v>86</v>
      </c>
      <c r="B21" s="18" t="s">
        <v>87</v>
      </c>
      <c r="C21" s="19" t="s">
        <v>77</v>
      </c>
      <c r="D21" s="20" t="s">
        <v>88</v>
      </c>
      <c r="E21" s="22" t="s">
        <v>79</v>
      </c>
      <c r="F21" s="19" t="s">
        <v>48</v>
      </c>
      <c r="G21" s="19" t="s">
        <v>49</v>
      </c>
      <c r="H21" s="19"/>
    </row>
    <row r="22" customFormat="false" ht="15" hidden="false" customHeight="false" outlineLevel="0" collapsed="false">
      <c r="A22" s="17" t="s">
        <v>89</v>
      </c>
      <c r="B22" s="18" t="s">
        <v>90</v>
      </c>
      <c r="C22" s="19" t="s">
        <v>77</v>
      </c>
      <c r="D22" s="20" t="s">
        <v>91</v>
      </c>
      <c r="E22" s="22" t="s">
        <v>79</v>
      </c>
      <c r="F22" s="19" t="s">
        <v>48</v>
      </c>
      <c r="G22" s="19" t="s">
        <v>49</v>
      </c>
      <c r="H22" s="19"/>
    </row>
    <row r="23" customFormat="false" ht="15" hidden="false" customHeight="false" outlineLevel="0" collapsed="false">
      <c r="A23" s="17" t="s">
        <v>92</v>
      </c>
      <c r="B23" s="18" t="s">
        <v>93</v>
      </c>
      <c r="C23" s="19" t="s">
        <v>77</v>
      </c>
      <c r="D23" s="20" t="s">
        <v>94</v>
      </c>
      <c r="E23" s="22" t="s">
        <v>79</v>
      </c>
      <c r="F23" s="19" t="s">
        <v>48</v>
      </c>
      <c r="G23" s="19" t="s">
        <v>49</v>
      </c>
      <c r="H23" s="19"/>
    </row>
    <row r="24" customFormat="false" ht="15" hidden="false" customHeight="false" outlineLevel="0" collapsed="false">
      <c r="A24" s="17" t="s">
        <v>95</v>
      </c>
      <c r="B24" s="18" t="s">
        <v>96</v>
      </c>
      <c r="C24" s="19" t="s">
        <v>77</v>
      </c>
      <c r="D24" s="20" t="s">
        <v>97</v>
      </c>
      <c r="E24" s="22" t="s">
        <v>79</v>
      </c>
      <c r="F24" s="19" t="s">
        <v>48</v>
      </c>
      <c r="G24" s="19" t="s">
        <v>49</v>
      </c>
      <c r="H24" s="19"/>
    </row>
    <row r="25" customFormat="false" ht="15" hidden="false" customHeight="false" outlineLevel="0" collapsed="false">
      <c r="A25" s="17" t="s">
        <v>98</v>
      </c>
      <c r="B25" s="18" t="s">
        <v>99</v>
      </c>
      <c r="C25" s="19" t="s">
        <v>77</v>
      </c>
      <c r="D25" s="20" t="s">
        <v>100</v>
      </c>
      <c r="E25" s="22" t="s">
        <v>79</v>
      </c>
      <c r="F25" s="19" t="s">
        <v>48</v>
      </c>
      <c r="G25" s="19" t="s">
        <v>49</v>
      </c>
      <c r="H25" s="19"/>
    </row>
    <row r="26" customFormat="false" ht="15" hidden="false" customHeight="false" outlineLevel="0" collapsed="false">
      <c r="A26" s="17" t="s">
        <v>101</v>
      </c>
      <c r="B26" s="18" t="s">
        <v>102</v>
      </c>
      <c r="C26" s="19" t="s">
        <v>77</v>
      </c>
      <c r="D26" s="20" t="s">
        <v>103</v>
      </c>
      <c r="E26" s="22" t="s">
        <v>79</v>
      </c>
      <c r="F26" s="19" t="s">
        <v>48</v>
      </c>
      <c r="G26" s="19" t="s">
        <v>49</v>
      </c>
      <c r="H26" s="19"/>
    </row>
    <row r="27" customFormat="false" ht="15" hidden="false" customHeight="false" outlineLevel="0" collapsed="false">
      <c r="A27" s="17" t="s">
        <v>104</v>
      </c>
      <c r="B27" s="18" t="s">
        <v>105</v>
      </c>
      <c r="C27" s="19" t="s">
        <v>77</v>
      </c>
      <c r="D27" s="20" t="s">
        <v>106</v>
      </c>
      <c r="E27" s="22" t="s">
        <v>79</v>
      </c>
      <c r="F27" s="19" t="s">
        <v>48</v>
      </c>
      <c r="G27" s="19" t="s">
        <v>49</v>
      </c>
      <c r="H27" s="19"/>
    </row>
    <row r="28" customFormat="false" ht="15" hidden="false" customHeight="false" outlineLevel="0" collapsed="false">
      <c r="A28" s="17" t="s">
        <v>107</v>
      </c>
      <c r="B28" s="18" t="s">
        <v>108</v>
      </c>
      <c r="C28" s="19" t="s">
        <v>77</v>
      </c>
      <c r="D28" s="20" t="s">
        <v>109</v>
      </c>
      <c r="E28" s="22" t="s">
        <v>79</v>
      </c>
      <c r="F28" s="19" t="s">
        <v>48</v>
      </c>
      <c r="G28" s="19" t="s">
        <v>49</v>
      </c>
      <c r="H28" s="19"/>
    </row>
    <row r="29" customFormat="false" ht="15" hidden="false" customHeight="false" outlineLevel="0" collapsed="false">
      <c r="A29" s="17" t="s">
        <v>110</v>
      </c>
      <c r="B29" s="18" t="s">
        <v>111</v>
      </c>
      <c r="C29" s="19" t="s">
        <v>77</v>
      </c>
      <c r="D29" s="20" t="s">
        <v>112</v>
      </c>
      <c r="E29" s="22" t="s">
        <v>79</v>
      </c>
      <c r="F29" s="19" t="s">
        <v>48</v>
      </c>
      <c r="G29" s="19" t="s">
        <v>49</v>
      </c>
      <c r="H29" s="19"/>
    </row>
    <row r="30" customFormat="false" ht="19.4" hidden="false" customHeight="false" outlineLevel="0" collapsed="false">
      <c r="A30" s="17" t="s">
        <v>113</v>
      </c>
      <c r="B30" s="18" t="s">
        <v>114</v>
      </c>
      <c r="C30" s="19" t="s">
        <v>77</v>
      </c>
      <c r="D30" s="20" t="s">
        <v>115</v>
      </c>
      <c r="E30" s="22" t="s">
        <v>79</v>
      </c>
      <c r="F30" s="19" t="s">
        <v>48</v>
      </c>
      <c r="G30" s="19" t="s">
        <v>49</v>
      </c>
      <c r="H30" s="19"/>
    </row>
    <row r="31" customFormat="false" ht="15" hidden="false" customHeight="false" outlineLevel="0" collapsed="false">
      <c r="A31" s="17" t="s">
        <v>116</v>
      </c>
      <c r="B31" s="18" t="s">
        <v>117</v>
      </c>
      <c r="C31" s="19" t="s">
        <v>77</v>
      </c>
      <c r="D31" s="20" t="s">
        <v>118</v>
      </c>
      <c r="E31" s="22" t="s">
        <v>79</v>
      </c>
      <c r="F31" s="19" t="s">
        <v>48</v>
      </c>
      <c r="G31" s="19" t="s">
        <v>49</v>
      </c>
      <c r="H31" s="19"/>
    </row>
    <row r="32" customFormat="false" ht="15" hidden="false" customHeight="false" outlineLevel="0" collapsed="false">
      <c r="A32" s="17" t="s">
        <v>119</v>
      </c>
      <c r="B32" s="18" t="s">
        <v>120</v>
      </c>
      <c r="C32" s="19" t="s">
        <v>77</v>
      </c>
      <c r="D32" s="20" t="s">
        <v>121</v>
      </c>
      <c r="E32" s="22" t="s">
        <v>79</v>
      </c>
      <c r="F32" s="19" t="s">
        <v>48</v>
      </c>
      <c r="G32" s="19" t="s">
        <v>49</v>
      </c>
      <c r="H32" s="19"/>
    </row>
    <row r="33" customFormat="false" ht="15" hidden="false" customHeight="false" outlineLevel="0" collapsed="false">
      <c r="A33" s="17" t="s">
        <v>122</v>
      </c>
      <c r="B33" s="18" t="s">
        <v>123</v>
      </c>
      <c r="C33" s="19" t="s">
        <v>77</v>
      </c>
      <c r="D33" s="20" t="s">
        <v>124</v>
      </c>
      <c r="E33" s="22" t="s">
        <v>79</v>
      </c>
      <c r="F33" s="19" t="s">
        <v>48</v>
      </c>
      <c r="G33" s="19" t="s">
        <v>49</v>
      </c>
      <c r="H33" s="19"/>
    </row>
    <row r="34" customFormat="false" ht="15" hidden="false" customHeight="false" outlineLevel="0" collapsed="false">
      <c r="A34" s="17" t="s">
        <v>125</v>
      </c>
      <c r="B34" s="18" t="s">
        <v>126</v>
      </c>
      <c r="C34" s="19" t="s">
        <v>77</v>
      </c>
      <c r="D34" s="20" t="s">
        <v>103</v>
      </c>
      <c r="E34" s="22" t="s">
        <v>79</v>
      </c>
      <c r="F34" s="19" t="s">
        <v>48</v>
      </c>
      <c r="G34" s="19" t="s">
        <v>49</v>
      </c>
      <c r="H34" s="19"/>
    </row>
    <row r="35" customFormat="false" ht="15" hidden="false" customHeight="false" outlineLevel="0" collapsed="false">
      <c r="A35" s="17" t="s">
        <v>127</v>
      </c>
      <c r="B35" s="18" t="s">
        <v>128</v>
      </c>
      <c r="C35" s="19" t="s">
        <v>77</v>
      </c>
      <c r="D35" s="20" t="s">
        <v>129</v>
      </c>
      <c r="E35" s="22" t="s">
        <v>79</v>
      </c>
      <c r="F35" s="19" t="s">
        <v>48</v>
      </c>
      <c r="G35" s="19" t="s">
        <v>49</v>
      </c>
      <c r="H35" s="19"/>
    </row>
    <row r="36" customFormat="false" ht="15" hidden="false" customHeight="false" outlineLevel="0" collapsed="false">
      <c r="A36" s="17" t="s">
        <v>130</v>
      </c>
      <c r="B36" s="18" t="s">
        <v>131</v>
      </c>
      <c r="C36" s="19" t="s">
        <v>77</v>
      </c>
      <c r="D36" s="20" t="s">
        <v>132</v>
      </c>
      <c r="E36" s="22" t="s">
        <v>79</v>
      </c>
      <c r="F36" s="19" t="s">
        <v>48</v>
      </c>
      <c r="G36" s="19" t="s">
        <v>49</v>
      </c>
      <c r="H36" s="19"/>
    </row>
    <row r="37" customFormat="false" ht="15" hidden="false" customHeight="false" outlineLevel="0" collapsed="false">
      <c r="A37" s="17" t="s">
        <v>133</v>
      </c>
      <c r="B37" s="18" t="s">
        <v>134</v>
      </c>
      <c r="C37" s="19" t="s">
        <v>135</v>
      </c>
      <c r="D37" s="20" t="s">
        <v>82</v>
      </c>
      <c r="E37" s="23" t="s">
        <v>136</v>
      </c>
      <c r="F37" s="19" t="s">
        <v>48</v>
      </c>
      <c r="G37" s="19" t="s">
        <v>49</v>
      </c>
      <c r="H37" s="19"/>
    </row>
    <row r="38" customFormat="false" ht="15" hidden="false" customHeight="false" outlineLevel="0" collapsed="false">
      <c r="A38" s="17" t="s">
        <v>137</v>
      </c>
      <c r="B38" s="18" t="s">
        <v>138</v>
      </c>
      <c r="C38" s="19" t="s">
        <v>135</v>
      </c>
      <c r="D38" s="20" t="s">
        <v>139</v>
      </c>
      <c r="E38" s="23" t="s">
        <v>136</v>
      </c>
      <c r="F38" s="19" t="s">
        <v>48</v>
      </c>
      <c r="G38" s="19" t="s">
        <v>49</v>
      </c>
      <c r="H38" s="19"/>
    </row>
    <row r="39" customFormat="false" ht="15" hidden="false" customHeight="false" outlineLevel="0" collapsed="false">
      <c r="A39" s="17" t="s">
        <v>140</v>
      </c>
      <c r="B39" s="18" t="s">
        <v>141</v>
      </c>
      <c r="C39" s="19" t="s">
        <v>135</v>
      </c>
      <c r="D39" s="20" t="s">
        <v>142</v>
      </c>
      <c r="E39" s="23" t="s">
        <v>136</v>
      </c>
      <c r="F39" s="19" t="s">
        <v>48</v>
      </c>
      <c r="G39" s="19" t="s">
        <v>49</v>
      </c>
      <c r="H39" s="19"/>
    </row>
    <row r="40" customFormat="false" ht="15" hidden="false" customHeight="false" outlineLevel="0" collapsed="false">
      <c r="A40" s="17" t="s">
        <v>143</v>
      </c>
      <c r="B40" s="18" t="s">
        <v>144</v>
      </c>
      <c r="C40" s="19" t="s">
        <v>145</v>
      </c>
      <c r="D40" s="20" t="s">
        <v>146</v>
      </c>
      <c r="E40" s="23" t="s">
        <v>136</v>
      </c>
      <c r="F40" s="19" t="s">
        <v>48</v>
      </c>
      <c r="G40" s="19" t="s">
        <v>49</v>
      </c>
      <c r="H40" s="19"/>
    </row>
    <row r="41" customFormat="false" ht="15" hidden="false" customHeight="false" outlineLevel="0" collapsed="false">
      <c r="A41" s="17" t="s">
        <v>147</v>
      </c>
      <c r="B41" s="18" t="s">
        <v>148</v>
      </c>
      <c r="C41" s="19" t="s">
        <v>145</v>
      </c>
      <c r="D41" s="20" t="s">
        <v>149</v>
      </c>
      <c r="E41" s="23" t="s">
        <v>136</v>
      </c>
      <c r="F41" s="19" t="s">
        <v>48</v>
      </c>
      <c r="G41" s="19" t="s">
        <v>49</v>
      </c>
      <c r="H41" s="19"/>
    </row>
    <row r="42" customFormat="false" ht="15" hidden="false" customHeight="false" outlineLevel="0" collapsed="false">
      <c r="A42" s="17" t="s">
        <v>150</v>
      </c>
      <c r="B42" s="18" t="s">
        <v>151</v>
      </c>
      <c r="C42" s="19" t="s">
        <v>145</v>
      </c>
      <c r="D42" s="20" t="s">
        <v>152</v>
      </c>
      <c r="E42" s="23" t="s">
        <v>136</v>
      </c>
      <c r="F42" s="19" t="s">
        <v>48</v>
      </c>
      <c r="G42" s="19" t="s">
        <v>49</v>
      </c>
      <c r="H42" s="19"/>
    </row>
    <row r="43" customFormat="false" ht="15" hidden="false" customHeight="false" outlineLevel="0" collapsed="false">
      <c r="A43" s="17" t="s">
        <v>153</v>
      </c>
      <c r="B43" s="18" t="s">
        <v>154</v>
      </c>
      <c r="C43" s="19" t="s">
        <v>145</v>
      </c>
      <c r="D43" s="20" t="s">
        <v>155</v>
      </c>
      <c r="E43" s="23" t="s">
        <v>136</v>
      </c>
      <c r="F43" s="19" t="s">
        <v>48</v>
      </c>
      <c r="G43" s="19" t="s">
        <v>49</v>
      </c>
      <c r="H43" s="19"/>
    </row>
    <row r="44" customFormat="false" ht="15" hidden="false" customHeight="false" outlineLevel="0" collapsed="false">
      <c r="A44" s="17" t="s">
        <v>156</v>
      </c>
      <c r="B44" s="18" t="s">
        <v>157</v>
      </c>
      <c r="C44" s="19" t="s">
        <v>145</v>
      </c>
      <c r="D44" s="20" t="s">
        <v>158</v>
      </c>
      <c r="E44" s="23" t="s">
        <v>136</v>
      </c>
      <c r="F44" s="19" t="s">
        <v>48</v>
      </c>
      <c r="G44" s="19" t="s">
        <v>49</v>
      </c>
      <c r="H44" s="19"/>
    </row>
    <row r="45" customFormat="false" ht="15" hidden="false" customHeight="false" outlineLevel="0" collapsed="false">
      <c r="A45" s="17" t="s">
        <v>159</v>
      </c>
      <c r="B45" s="18" t="s">
        <v>160</v>
      </c>
      <c r="C45" s="19" t="s">
        <v>161</v>
      </c>
      <c r="D45" s="20" t="s">
        <v>162</v>
      </c>
      <c r="E45" s="23" t="s">
        <v>136</v>
      </c>
      <c r="F45" s="19" t="s">
        <v>48</v>
      </c>
      <c r="G45" s="19" t="s">
        <v>49</v>
      </c>
      <c r="H45" s="19"/>
    </row>
    <row r="46" customFormat="false" ht="15" hidden="false" customHeight="false" outlineLevel="0" collapsed="false">
      <c r="A46" s="17" t="s">
        <v>163</v>
      </c>
      <c r="B46" s="18" t="s">
        <v>164</v>
      </c>
      <c r="C46" s="19" t="s">
        <v>45</v>
      </c>
      <c r="D46" s="20" t="s">
        <v>165</v>
      </c>
      <c r="E46" s="23" t="s">
        <v>35</v>
      </c>
      <c r="F46" s="19" t="s">
        <v>45</v>
      </c>
      <c r="G46" s="19" t="s">
        <v>45</v>
      </c>
      <c r="H46" s="19" t="s">
        <v>45</v>
      </c>
    </row>
    <row r="48" customFormat="false" ht="15" hidden="false" customHeight="false" outlineLevel="0" collapsed="false">
      <c r="A48" s="24" t="s">
        <v>166</v>
      </c>
      <c r="B48" s="25" t="s">
        <v>167</v>
      </c>
      <c r="C48" s="25"/>
      <c r="D48" s="25"/>
      <c r="E48" s="25"/>
      <c r="F48" s="25"/>
      <c r="G48" s="25"/>
      <c r="H48" s="25"/>
    </row>
  </sheetData>
  <mergeCells count="7">
    <mergeCell ref="A1:H1"/>
    <mergeCell ref="A2:H2"/>
    <mergeCell ref="A4:H4"/>
    <mergeCell ref="A5:H5"/>
    <mergeCell ref="A6:H6"/>
    <mergeCell ref="A7:H7"/>
    <mergeCell ref="B48:H48"/>
  </mergeCells>
  <hyperlinks>
    <hyperlink ref="A10" r:id="rId1" location="'COVER'!A1" display="COVER"/>
    <hyperlink ref="A11" r:id="rId2" location="'A0%20-%20Acceptance'!A1" display="A0"/>
    <hyperlink ref="A12" r:id="rId3" location="'IND%20-%20Independensi'!A1" display="IND"/>
    <hyperlink ref="A13" r:id="rId4" location="'P0%20-%20Pemahaman%20Entitas'!A1" display="P0"/>
    <hyperlink ref="A14" r:id="rId5" location="'P1%20-%20Materialitas'!A1" display="P1"/>
    <hyperlink ref="A15" r:id="rId6" location="'P2%20-%20Risiko'!A1" display="P2"/>
    <hyperlink ref="A16" r:id="rId7" location="'ICFR%20-%20Pengendalian%20Internal'!A1" display="ICFR"/>
    <hyperlink ref="A17" r:id="rId8" location="'P3%20-%20Program'!A1" display="P3"/>
    <hyperlink ref="A18" r:id="rId9" location="'WTB'!A1" display="WTB"/>
    <hyperlink ref="A19" r:id="rId10" location="'AJE'!A1" display="AJE"/>
    <hyperlink ref="A20" r:id="rId11" location="'A%20-%20Kas%20&amp;%20Setara%20Kas'!A1" display="A"/>
    <hyperlink ref="A21" r:id="rId12" location="'B%20-%20Piutang%20Usaha%20&amp;%20CKPN'!A1" display="B"/>
    <hyperlink ref="A22" r:id="rId13" location="'C%20-%20Persediaan'!A1" display="C"/>
    <hyperlink ref="A23" r:id="rId14" location="'D%20-%20Aset%20Tetap%20&amp;%20Takberwujud'!A1" display="D"/>
    <hyperlink ref="A24" r:id="rId15" location="'E%20-%20Sewa%20Hak-Guna%20PSAK%2073'!A1" display="E"/>
    <hyperlink ref="A25" r:id="rId16" location="'F%20-%20Utang%20Usaha%20&amp;%20Akrual'!A1" display="F"/>
    <hyperlink ref="A26" r:id="rId17" location="'G%20-%20Utang%20Bank%20&amp;%20Pinjaman'!A1" display="G"/>
    <hyperlink ref="A27" r:id="rId18" location="'H%20-%20Perpajakan'!A1" display="H"/>
    <hyperlink ref="A28" r:id="rId19" location="'I%20-%20Imbalan%20Kerja'!A1" display="I"/>
    <hyperlink ref="A29" r:id="rId20" location="'J%20-%20Ekuitas'!A1" display="J"/>
    <hyperlink ref="A30" r:id="rId21" location="'K%20-%20Pendapatan%20&amp;%20Beban'!A1" display="K"/>
    <hyperlink ref="A31" r:id="rId22" location="'AR%20-%20Analitis'!A1" display="AR"/>
    <hyperlink ref="A32" r:id="rId23" location="'SMP%20-%20Sampling'!A1" display="SMP"/>
    <hyperlink ref="A33" r:id="rId24" location="'JET%20-%20Jurnal'!A1" display="JET"/>
    <hyperlink ref="A34" r:id="rId25" location="'CONF%20-%20Konfirmasi'!A1" display="CONF"/>
    <hyperlink ref="A35" r:id="rId26" location="'RPT%20-%20Pihak%20Berelasi'!A1" display="RPT"/>
    <hyperlink ref="A36" r:id="rId27" location="'OB%20-%20Saldo%20Awal'!A1" display="OB"/>
    <hyperlink ref="A37" r:id="rId28" location="'SAD%20-%20Salah%20Saji'!A1" display="SAD"/>
    <hyperlink ref="A38" r:id="rId29" location="'RVW%20-%20Reviu%20&amp;%20Penyelesaian'!A1" display="RVW"/>
    <hyperlink ref="A39" r:id="rId30" location="'EQR%20-%20Reviu%20Mutu'!A1" display="EQR"/>
    <hyperlink ref="A40" r:id="rId31" location="'GC%20-%20Going%20Concern'!A1" display="GC"/>
    <hyperlink ref="A41" r:id="rId32" location="'SUB%20-%20Peristiwa%20Kemudian'!A1" display="SUB"/>
    <hyperlink ref="A42" r:id="rId33" location="'MRL%20-%20Representasi'!A1" display="MRL"/>
    <hyperlink ref="A43" r:id="rId34" location="'TCWG%20-%20Komunikasi'!A1" display="TCWG"/>
    <hyperlink ref="A44" r:id="rId35" location="'CONC%20-%20Kesimpulan'!A1" display="CONC"/>
    <hyperlink ref="A45" r:id="rId36" location="'ARCH%20-%20Arsip'!A1" display="ARCH"/>
    <hyperlink ref="A46" r:id="rId37" location="'REF%20-%20Standar%20SA'!A1" display="RE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30"/>
    <col collapsed="false" customWidth="true" hidden="false" outlineLevel="0" max="8" min="6" style="0" width="12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168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169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171</v>
      </c>
      <c r="B7" s="15"/>
      <c r="C7" s="15"/>
      <c r="D7" s="15"/>
      <c r="E7" s="15"/>
      <c r="F7" s="15"/>
      <c r="G7" s="15"/>
      <c r="H7" s="15"/>
    </row>
    <row r="9" customFormat="false" ht="21.75" hidden="false" customHeight="true" outlineLevel="0" collapsed="false">
      <c r="A9" s="16" t="s">
        <v>172</v>
      </c>
      <c r="B9" s="16" t="s">
        <v>173</v>
      </c>
      <c r="C9" s="16" t="s">
        <v>174</v>
      </c>
      <c r="D9" s="16" t="s">
        <v>175</v>
      </c>
      <c r="E9" s="16" t="s">
        <v>176</v>
      </c>
    </row>
    <row r="10" customFormat="false" ht="24" hidden="false" customHeight="true" outlineLevel="0" collapsed="false">
      <c r="A10" s="27" t="n">
        <v>1</v>
      </c>
      <c r="B10" s="28" t="s">
        <v>177</v>
      </c>
      <c r="C10" s="29" t="s">
        <v>178</v>
      </c>
      <c r="D10" s="29" t="s">
        <v>178</v>
      </c>
      <c r="E10" s="18"/>
    </row>
    <row r="11" customFormat="false" ht="24" hidden="false" customHeight="true" outlineLevel="0" collapsed="false">
      <c r="A11" s="27" t="n">
        <v>2</v>
      </c>
      <c r="B11" s="28" t="s">
        <v>179</v>
      </c>
      <c r="C11" s="29" t="s">
        <v>178</v>
      </c>
      <c r="D11" s="29" t="s">
        <v>178</v>
      </c>
      <c r="E11" s="18"/>
    </row>
    <row r="12" customFormat="false" ht="24" hidden="false" customHeight="true" outlineLevel="0" collapsed="false">
      <c r="A12" s="27" t="n">
        <v>3</v>
      </c>
      <c r="B12" s="28" t="s">
        <v>180</v>
      </c>
      <c r="C12" s="29" t="s">
        <v>178</v>
      </c>
      <c r="D12" s="29" t="s">
        <v>178</v>
      </c>
      <c r="E12" s="18"/>
    </row>
    <row r="13" customFormat="false" ht="24" hidden="false" customHeight="true" outlineLevel="0" collapsed="false">
      <c r="A13" s="27" t="n">
        <v>4</v>
      </c>
      <c r="B13" s="28" t="s">
        <v>181</v>
      </c>
      <c r="C13" s="29" t="s">
        <v>178</v>
      </c>
      <c r="D13" s="29" t="s">
        <v>178</v>
      </c>
      <c r="E13" s="18"/>
    </row>
    <row r="14" customFormat="false" ht="24" hidden="false" customHeight="true" outlineLevel="0" collapsed="false">
      <c r="A14" s="27" t="n">
        <v>5</v>
      </c>
      <c r="B14" s="28" t="s">
        <v>182</v>
      </c>
      <c r="C14" s="29" t="s">
        <v>178</v>
      </c>
      <c r="D14" s="29" t="s">
        <v>178</v>
      </c>
      <c r="E14" s="18"/>
    </row>
    <row r="15" customFormat="false" ht="24" hidden="false" customHeight="true" outlineLevel="0" collapsed="false">
      <c r="A15" s="27" t="n">
        <v>6</v>
      </c>
      <c r="B15" s="28" t="s">
        <v>183</v>
      </c>
      <c r="C15" s="29" t="s">
        <v>178</v>
      </c>
      <c r="D15" s="29" t="s">
        <v>178</v>
      </c>
      <c r="E15" s="18"/>
    </row>
    <row r="16" customFormat="false" ht="24" hidden="false" customHeight="true" outlineLevel="0" collapsed="false">
      <c r="A16" s="27" t="n">
        <v>7</v>
      </c>
      <c r="B16" s="28" t="s">
        <v>184</v>
      </c>
      <c r="C16" s="29" t="s">
        <v>178</v>
      </c>
      <c r="D16" s="29" t="s">
        <v>178</v>
      </c>
      <c r="E16" s="18"/>
    </row>
    <row r="17" customFormat="false" ht="24" hidden="false" customHeight="true" outlineLevel="0" collapsed="false">
      <c r="A17" s="27" t="n">
        <v>8</v>
      </c>
      <c r="B17" s="28" t="s">
        <v>185</v>
      </c>
      <c r="C17" s="29" t="s">
        <v>178</v>
      </c>
      <c r="D17" s="29" t="s">
        <v>178</v>
      </c>
      <c r="E17" s="18"/>
    </row>
    <row r="19" customFormat="false" ht="15" hidden="false" customHeight="false" outlineLevel="0" collapsed="false">
      <c r="A19" s="30" t="s">
        <v>186</v>
      </c>
      <c r="B19" s="30"/>
      <c r="C19" s="30"/>
      <c r="D19" s="30"/>
      <c r="E19" s="30"/>
    </row>
    <row r="20" customFormat="false" ht="15" hidden="false" customHeight="false" outlineLevel="0" collapsed="false">
      <c r="A20" s="31" t="s">
        <v>187</v>
      </c>
      <c r="B20" s="31"/>
      <c r="C20" s="31"/>
      <c r="D20" s="31"/>
      <c r="E20" s="31"/>
    </row>
    <row r="22" customFormat="false" ht="15" hidden="false" customHeight="false" outlineLevel="0" collapsed="false">
      <c r="A22" s="24" t="s">
        <v>188</v>
      </c>
      <c r="B22" s="32" t="s">
        <v>21</v>
      </c>
      <c r="C22" s="33" t="s">
        <v>189</v>
      </c>
      <c r="D22" s="32" t="s">
        <v>190</v>
      </c>
      <c r="E22" s="24" t="s">
        <v>191</v>
      </c>
      <c r="F22" s="32" t="s">
        <v>19</v>
      </c>
      <c r="G22" s="33" t="s">
        <v>189</v>
      </c>
      <c r="H22" s="32" t="s">
        <v>190</v>
      </c>
    </row>
    <row r="23" customFormat="false" ht="15" hidden="false" customHeight="false" outlineLevel="0" collapsed="false">
      <c r="A23" s="24" t="s">
        <v>192</v>
      </c>
      <c r="B23" s="32" t="s">
        <v>17</v>
      </c>
      <c r="C23" s="33" t="s">
        <v>189</v>
      </c>
      <c r="D23" s="32" t="s">
        <v>190</v>
      </c>
    </row>
  </sheetData>
  <mergeCells count="8">
    <mergeCell ref="A1:H1"/>
    <mergeCell ref="A2:H2"/>
    <mergeCell ref="A4:H4"/>
    <mergeCell ref="A5:H5"/>
    <mergeCell ref="A6:G6"/>
    <mergeCell ref="A7:H7"/>
    <mergeCell ref="A19:E19"/>
    <mergeCell ref="A20:E20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</row>
    <row r="5" customFormat="false" ht="24" hidden="false" customHeight="true" outlineLevel="0" collapsed="false">
      <c r="A5" s="13" t="s">
        <v>193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194</v>
      </c>
      <c r="B6" s="14"/>
      <c r="C6" s="14"/>
      <c r="D6" s="14"/>
      <c r="E6" s="26" t="s">
        <v>170</v>
      </c>
    </row>
    <row r="7" customFormat="false" ht="15" hidden="false" customHeight="false" outlineLevel="0" collapsed="false">
      <c r="A7" s="15" t="s">
        <v>195</v>
      </c>
      <c r="B7" s="15"/>
      <c r="C7" s="15"/>
      <c r="D7" s="15"/>
      <c r="E7" s="15"/>
    </row>
    <row r="9" customFormat="false" ht="21.75" hidden="false" customHeight="true" outlineLevel="0" collapsed="false">
      <c r="A9" s="16" t="s">
        <v>172</v>
      </c>
      <c r="B9" s="16" t="s">
        <v>196</v>
      </c>
      <c r="C9" s="16" t="s">
        <v>197</v>
      </c>
      <c r="D9" s="16" t="s">
        <v>175</v>
      </c>
      <c r="E9" s="16" t="s">
        <v>198</v>
      </c>
    </row>
    <row r="10" customFormat="false" ht="25.5" hidden="false" customHeight="true" outlineLevel="0" collapsed="false">
      <c r="A10" s="27" t="n">
        <v>1</v>
      </c>
      <c r="B10" s="28" t="s">
        <v>199</v>
      </c>
      <c r="C10" s="29" t="s">
        <v>178</v>
      </c>
      <c r="D10" s="29" t="s">
        <v>178</v>
      </c>
      <c r="E10" s="18"/>
    </row>
    <row r="11" customFormat="false" ht="25.5" hidden="false" customHeight="true" outlineLevel="0" collapsed="false">
      <c r="A11" s="27" t="n">
        <v>2</v>
      </c>
      <c r="B11" s="28" t="s">
        <v>200</v>
      </c>
      <c r="C11" s="29" t="s">
        <v>178</v>
      </c>
      <c r="D11" s="29" t="s">
        <v>178</v>
      </c>
      <c r="E11" s="18"/>
    </row>
    <row r="12" customFormat="false" ht="25.5" hidden="false" customHeight="true" outlineLevel="0" collapsed="false">
      <c r="A12" s="27" t="n">
        <v>3</v>
      </c>
      <c r="B12" s="28" t="s">
        <v>201</v>
      </c>
      <c r="C12" s="29" t="s">
        <v>178</v>
      </c>
      <c r="D12" s="29" t="s">
        <v>178</v>
      </c>
      <c r="E12" s="18"/>
    </row>
    <row r="13" customFormat="false" ht="25.5" hidden="false" customHeight="true" outlineLevel="0" collapsed="false">
      <c r="A13" s="27" t="n">
        <v>4</v>
      </c>
      <c r="B13" s="28" t="s">
        <v>202</v>
      </c>
      <c r="C13" s="29" t="s">
        <v>178</v>
      </c>
      <c r="D13" s="29" t="s">
        <v>178</v>
      </c>
      <c r="E13" s="18"/>
    </row>
    <row r="14" customFormat="false" ht="25.5" hidden="false" customHeight="true" outlineLevel="0" collapsed="false">
      <c r="A14" s="27" t="n">
        <v>5</v>
      </c>
      <c r="B14" s="28" t="s">
        <v>203</v>
      </c>
      <c r="C14" s="29" t="s">
        <v>178</v>
      </c>
      <c r="D14" s="29" t="s">
        <v>178</v>
      </c>
      <c r="E14" s="18"/>
    </row>
    <row r="15" customFormat="false" ht="25.5" hidden="false" customHeight="true" outlineLevel="0" collapsed="false">
      <c r="A15" s="27" t="n">
        <v>6</v>
      </c>
      <c r="B15" s="28" t="s">
        <v>204</v>
      </c>
      <c r="C15" s="29" t="s">
        <v>178</v>
      </c>
      <c r="D15" s="29" t="s">
        <v>178</v>
      </c>
      <c r="E15" s="18"/>
    </row>
    <row r="16" customFormat="false" ht="25.5" hidden="false" customHeight="true" outlineLevel="0" collapsed="false">
      <c r="A16" s="27" t="n">
        <v>7</v>
      </c>
      <c r="B16" s="28" t="s">
        <v>205</v>
      </c>
      <c r="C16" s="29" t="s">
        <v>178</v>
      </c>
      <c r="D16" s="29" t="s">
        <v>178</v>
      </c>
      <c r="E16" s="18"/>
    </row>
    <row r="17" customFormat="false" ht="25.5" hidden="false" customHeight="true" outlineLevel="0" collapsed="false">
      <c r="A17" s="27" t="n">
        <v>8</v>
      </c>
      <c r="B17" s="28" t="s">
        <v>206</v>
      </c>
      <c r="C17" s="29" t="s">
        <v>178</v>
      </c>
      <c r="D17" s="29" t="s">
        <v>178</v>
      </c>
      <c r="E17" s="18"/>
    </row>
    <row r="19" customFormat="false" ht="15" hidden="false" customHeight="false" outlineLevel="0" collapsed="false">
      <c r="A19" s="30" t="s">
        <v>207</v>
      </c>
      <c r="B19" s="30"/>
      <c r="C19" s="30"/>
      <c r="D19" s="30"/>
      <c r="E19" s="30"/>
    </row>
    <row r="20" customFormat="false" ht="31.5" hidden="false" customHeight="true" outlineLevel="0" collapsed="false">
      <c r="A20" s="34" t="s">
        <v>208</v>
      </c>
      <c r="B20" s="34"/>
      <c r="C20" s="34"/>
      <c r="D20" s="34"/>
      <c r="E20" s="34"/>
    </row>
    <row r="21" customFormat="false" ht="15" hidden="false" customHeight="false" outlineLevel="0" collapsed="false">
      <c r="A21" s="34"/>
      <c r="B21" s="34"/>
      <c r="C21" s="34"/>
      <c r="D21" s="34"/>
      <c r="E21" s="34"/>
    </row>
    <row r="23" customFormat="false" ht="15" hidden="false" customHeight="false" outlineLevel="0" collapsed="false">
      <c r="A23" s="24" t="s">
        <v>188</v>
      </c>
      <c r="B23" s="32" t="s">
        <v>21</v>
      </c>
      <c r="C23" s="33" t="s">
        <v>189</v>
      </c>
      <c r="D23" s="32" t="s">
        <v>190</v>
      </c>
      <c r="E23" s="24" t="s">
        <v>191</v>
      </c>
      <c r="F23" s="32" t="s">
        <v>19</v>
      </c>
      <c r="G23" s="33" t="s">
        <v>189</v>
      </c>
      <c r="H23" s="32" t="s">
        <v>190</v>
      </c>
    </row>
    <row r="24" customFormat="false" ht="15" hidden="false" customHeight="false" outlineLevel="0" collapsed="false">
      <c r="A24" s="24" t="s">
        <v>192</v>
      </c>
      <c r="B24" s="32" t="s">
        <v>17</v>
      </c>
      <c r="C24" s="33" t="s">
        <v>189</v>
      </c>
      <c r="D24" s="32" t="s">
        <v>190</v>
      </c>
    </row>
  </sheetData>
  <mergeCells count="8">
    <mergeCell ref="A1:E1"/>
    <mergeCell ref="A2:E2"/>
    <mergeCell ref="A4:E4"/>
    <mergeCell ref="A5:E5"/>
    <mergeCell ref="A6:D6"/>
    <mergeCell ref="A7:E7"/>
    <mergeCell ref="A19:E19"/>
    <mergeCell ref="A20:E21"/>
  </mergeCells>
  <hyperlinks>
    <hyperlink ref="E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</row>
    <row r="5" customFormat="false" ht="24" hidden="false" customHeight="true" outlineLevel="0" collapsed="false">
      <c r="A5" s="13" t="s">
        <v>209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210</v>
      </c>
      <c r="B6" s="14"/>
      <c r="C6" s="14"/>
      <c r="D6" s="14"/>
      <c r="E6" s="26" t="s">
        <v>170</v>
      </c>
    </row>
    <row r="7" customFormat="false" ht="15" hidden="false" customHeight="false" outlineLevel="0" collapsed="false">
      <c r="A7" s="15" t="s">
        <v>211</v>
      </c>
      <c r="B7" s="15"/>
      <c r="C7" s="15"/>
      <c r="D7" s="15"/>
      <c r="E7" s="15"/>
    </row>
    <row r="9" customFormat="false" ht="21.75" hidden="false" customHeight="true" outlineLevel="0" collapsed="false">
      <c r="A9" s="16" t="s">
        <v>172</v>
      </c>
      <c r="B9" s="16" t="s">
        <v>196</v>
      </c>
      <c r="C9" s="16" t="s">
        <v>197</v>
      </c>
      <c r="D9" s="16" t="s">
        <v>175</v>
      </c>
      <c r="E9" s="16" t="s">
        <v>198</v>
      </c>
    </row>
    <row r="10" customFormat="false" ht="25.5" hidden="false" customHeight="true" outlineLevel="0" collapsed="false">
      <c r="A10" s="27" t="n">
        <v>1</v>
      </c>
      <c r="B10" s="28" t="s">
        <v>212</v>
      </c>
      <c r="C10" s="29" t="s">
        <v>178</v>
      </c>
      <c r="D10" s="29" t="s">
        <v>178</v>
      </c>
      <c r="E10" s="18"/>
    </row>
    <row r="11" customFormat="false" ht="25.5" hidden="false" customHeight="true" outlineLevel="0" collapsed="false">
      <c r="A11" s="27" t="n">
        <v>2</v>
      </c>
      <c r="B11" s="28" t="s">
        <v>213</v>
      </c>
      <c r="C11" s="29" t="s">
        <v>178</v>
      </c>
      <c r="D11" s="29" t="s">
        <v>178</v>
      </c>
      <c r="E11" s="18"/>
    </row>
    <row r="12" customFormat="false" ht="25.5" hidden="false" customHeight="true" outlineLevel="0" collapsed="false">
      <c r="A12" s="27" t="n">
        <v>3</v>
      </c>
      <c r="B12" s="28" t="s">
        <v>214</v>
      </c>
      <c r="C12" s="29" t="s">
        <v>178</v>
      </c>
      <c r="D12" s="29" t="s">
        <v>178</v>
      </c>
      <c r="E12" s="18"/>
    </row>
    <row r="13" customFormat="false" ht="25.5" hidden="false" customHeight="true" outlineLevel="0" collapsed="false">
      <c r="A13" s="27" t="n">
        <v>4</v>
      </c>
      <c r="B13" s="28" t="s">
        <v>215</v>
      </c>
      <c r="C13" s="29" t="s">
        <v>178</v>
      </c>
      <c r="D13" s="29" t="s">
        <v>178</v>
      </c>
      <c r="E13" s="18"/>
    </row>
    <row r="14" customFormat="false" ht="25.5" hidden="false" customHeight="true" outlineLevel="0" collapsed="false">
      <c r="A14" s="27" t="n">
        <v>5</v>
      </c>
      <c r="B14" s="28" t="s">
        <v>216</v>
      </c>
      <c r="C14" s="29" t="s">
        <v>178</v>
      </c>
      <c r="D14" s="29" t="s">
        <v>178</v>
      </c>
      <c r="E14" s="18"/>
    </row>
    <row r="15" customFormat="false" ht="25.5" hidden="false" customHeight="true" outlineLevel="0" collapsed="false">
      <c r="A15" s="27" t="n">
        <v>6</v>
      </c>
      <c r="B15" s="28" t="s">
        <v>217</v>
      </c>
      <c r="C15" s="29" t="s">
        <v>178</v>
      </c>
      <c r="D15" s="29" t="s">
        <v>178</v>
      </c>
      <c r="E15" s="18"/>
    </row>
    <row r="16" customFormat="false" ht="25.5" hidden="false" customHeight="true" outlineLevel="0" collapsed="false">
      <c r="A16" s="27" t="n">
        <v>7</v>
      </c>
      <c r="B16" s="28" t="s">
        <v>218</v>
      </c>
      <c r="C16" s="29" t="s">
        <v>178</v>
      </c>
      <c r="D16" s="29" t="s">
        <v>178</v>
      </c>
      <c r="E16" s="18"/>
    </row>
    <row r="17" customFormat="false" ht="25.5" hidden="false" customHeight="true" outlineLevel="0" collapsed="false">
      <c r="A17" s="27" t="n">
        <v>8</v>
      </c>
      <c r="B17" s="28" t="s">
        <v>219</v>
      </c>
      <c r="C17" s="29" t="s">
        <v>178</v>
      </c>
      <c r="D17" s="29" t="s">
        <v>178</v>
      </c>
      <c r="E17" s="18"/>
    </row>
    <row r="19" customFormat="false" ht="15" hidden="false" customHeight="false" outlineLevel="0" collapsed="false">
      <c r="A19" s="30" t="s">
        <v>207</v>
      </c>
      <c r="B19" s="30"/>
      <c r="C19" s="30"/>
      <c r="D19" s="30"/>
      <c r="E19" s="30"/>
    </row>
    <row r="20" customFormat="false" ht="31.5" hidden="false" customHeight="true" outlineLevel="0" collapsed="false">
      <c r="A20" s="34" t="s">
        <v>208</v>
      </c>
      <c r="B20" s="34"/>
      <c r="C20" s="34"/>
      <c r="D20" s="34"/>
      <c r="E20" s="34"/>
    </row>
    <row r="21" customFormat="false" ht="15" hidden="false" customHeight="false" outlineLevel="0" collapsed="false">
      <c r="A21" s="34"/>
      <c r="B21" s="34"/>
      <c r="C21" s="34"/>
      <c r="D21" s="34"/>
      <c r="E21" s="34"/>
    </row>
    <row r="23" customFormat="false" ht="15" hidden="false" customHeight="false" outlineLevel="0" collapsed="false">
      <c r="A23" s="24" t="s">
        <v>188</v>
      </c>
      <c r="B23" s="32" t="s">
        <v>21</v>
      </c>
      <c r="C23" s="33" t="s">
        <v>189</v>
      </c>
      <c r="D23" s="32" t="s">
        <v>190</v>
      </c>
      <c r="E23" s="24" t="s">
        <v>191</v>
      </c>
      <c r="F23" s="32" t="s">
        <v>19</v>
      </c>
      <c r="G23" s="33" t="s">
        <v>189</v>
      </c>
      <c r="H23" s="32" t="s">
        <v>190</v>
      </c>
    </row>
    <row r="24" customFormat="false" ht="15" hidden="false" customHeight="false" outlineLevel="0" collapsed="false">
      <c r="A24" s="24" t="s">
        <v>192</v>
      </c>
      <c r="B24" s="32" t="s">
        <v>17</v>
      </c>
      <c r="C24" s="33" t="s">
        <v>189</v>
      </c>
      <c r="D24" s="32" t="s">
        <v>190</v>
      </c>
    </row>
  </sheetData>
  <mergeCells count="8">
    <mergeCell ref="A1:E1"/>
    <mergeCell ref="A2:E2"/>
    <mergeCell ref="A4:E4"/>
    <mergeCell ref="A5:E5"/>
    <mergeCell ref="A6:D6"/>
    <mergeCell ref="A7:E7"/>
    <mergeCell ref="A19:E19"/>
    <mergeCell ref="A20:E21"/>
  </mergeCells>
  <hyperlinks>
    <hyperlink ref="E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8" min="6" style="0" width="12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220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221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222</v>
      </c>
      <c r="B7" s="15"/>
      <c r="C7" s="15"/>
      <c r="D7" s="15"/>
      <c r="E7" s="15"/>
      <c r="F7" s="15"/>
      <c r="G7" s="15"/>
      <c r="H7" s="15"/>
    </row>
    <row r="9" customFormat="false" ht="15" hidden="false" customHeight="false" outlineLevel="0" collapsed="false">
      <c r="A9" s="35" t="s">
        <v>223</v>
      </c>
      <c r="B9" s="35"/>
      <c r="C9" s="35"/>
      <c r="D9" s="35"/>
      <c r="E9" s="35"/>
    </row>
    <row r="10" customFormat="false" ht="15" hidden="false" customHeight="false" outlineLevel="0" collapsed="false">
      <c r="B10" s="36" t="s">
        <v>224</v>
      </c>
      <c r="C10" s="37" t="s">
        <v>225</v>
      </c>
      <c r="D10" s="37" t="s">
        <v>226</v>
      </c>
    </row>
    <row r="11" customFormat="false" ht="15" hidden="false" customHeight="false" outlineLevel="0" collapsed="false">
      <c r="B11" s="38" t="s">
        <v>227</v>
      </c>
      <c r="C11" s="39" t="s">
        <v>228</v>
      </c>
      <c r="D11" s="40" t="s">
        <v>229</v>
      </c>
    </row>
    <row r="12" customFormat="false" ht="15" hidden="false" customHeight="false" outlineLevel="0" collapsed="false">
      <c r="B12" s="38" t="s">
        <v>230</v>
      </c>
      <c r="C12" s="41" t="n">
        <v>331900000000</v>
      </c>
      <c r="D12" s="40" t="s">
        <v>231</v>
      </c>
    </row>
    <row r="13" customFormat="false" ht="15" hidden="false" customHeight="false" outlineLevel="0" collapsed="false">
      <c r="B13" s="38" t="s">
        <v>232</v>
      </c>
      <c r="C13" s="42" t="n">
        <v>0.0075</v>
      </c>
      <c r="D13" s="40" t="s">
        <v>233</v>
      </c>
    </row>
    <row r="14" customFormat="false" ht="15" hidden="false" customHeight="false" outlineLevel="0" collapsed="false">
      <c r="B14" s="43" t="s">
        <v>234</v>
      </c>
      <c r="C14" s="44" t="n">
        <f aca="false">C12*C13</f>
        <v>2489250000</v>
      </c>
      <c r="D14" s="45" t="s">
        <v>235</v>
      </c>
    </row>
    <row r="15" customFormat="false" ht="15" hidden="false" customHeight="false" outlineLevel="0" collapsed="false">
      <c r="B15" s="38" t="s">
        <v>236</v>
      </c>
      <c r="C15" s="42" t="n">
        <v>0.65</v>
      </c>
      <c r="D15" s="40" t="s">
        <v>237</v>
      </c>
    </row>
    <row r="16" customFormat="false" ht="15" hidden="false" customHeight="false" outlineLevel="0" collapsed="false">
      <c r="B16" s="43" t="s">
        <v>238</v>
      </c>
      <c r="C16" s="44" t="n">
        <f aca="false">C14*C15</f>
        <v>1618012500</v>
      </c>
      <c r="D16" s="45" t="s">
        <v>239</v>
      </c>
    </row>
    <row r="17" customFormat="false" ht="15" hidden="false" customHeight="false" outlineLevel="0" collapsed="false">
      <c r="B17" s="38" t="s">
        <v>240</v>
      </c>
      <c r="C17" s="42" t="n">
        <v>0.05</v>
      </c>
      <c r="D17" s="40" t="s">
        <v>241</v>
      </c>
    </row>
    <row r="18" customFormat="false" ht="15" hidden="false" customHeight="false" outlineLevel="0" collapsed="false">
      <c r="B18" s="43" t="s">
        <v>242</v>
      </c>
      <c r="C18" s="44" t="n">
        <f aca="false">C14*C17</f>
        <v>124462500</v>
      </c>
      <c r="D18" s="45" t="s">
        <v>243</v>
      </c>
    </row>
    <row r="20" customFormat="false" ht="15" hidden="false" customHeight="false" outlineLevel="0" collapsed="false">
      <c r="A20" s="30" t="s">
        <v>244</v>
      </c>
      <c r="B20" s="30"/>
      <c r="C20" s="30"/>
      <c r="D20" s="30"/>
      <c r="E20" s="30"/>
    </row>
    <row r="21" customFormat="false" ht="43.5" hidden="false" customHeight="true" outlineLevel="0" collapsed="false">
      <c r="A21" s="34" t="s">
        <v>245</v>
      </c>
      <c r="B21" s="34"/>
      <c r="C21" s="34"/>
      <c r="D21" s="34"/>
      <c r="E21" s="34"/>
    </row>
    <row r="22" customFormat="false" ht="15" hidden="false" customHeight="false" outlineLevel="0" collapsed="false">
      <c r="A22" s="34"/>
      <c r="B22" s="34"/>
      <c r="C22" s="34"/>
      <c r="D22" s="34"/>
      <c r="E22" s="34"/>
    </row>
    <row r="24" customFormat="false" ht="15" hidden="false" customHeight="false" outlineLevel="0" collapsed="false">
      <c r="A24" s="24" t="s">
        <v>188</v>
      </c>
      <c r="B24" s="32" t="s">
        <v>21</v>
      </c>
      <c r="C24" s="33" t="s">
        <v>189</v>
      </c>
      <c r="D24" s="32" t="s">
        <v>190</v>
      </c>
      <c r="E24" s="24" t="s">
        <v>191</v>
      </c>
      <c r="F24" s="32" t="s">
        <v>19</v>
      </c>
      <c r="G24" s="33" t="s">
        <v>189</v>
      </c>
      <c r="H24" s="32" t="s">
        <v>190</v>
      </c>
    </row>
    <row r="25" customFormat="false" ht="15" hidden="false" customHeight="false" outlineLevel="0" collapsed="false">
      <c r="A25" s="24" t="s">
        <v>192</v>
      </c>
      <c r="B25" s="32" t="s">
        <v>17</v>
      </c>
      <c r="C25" s="33" t="s">
        <v>189</v>
      </c>
      <c r="D25" s="32" t="s">
        <v>190</v>
      </c>
    </row>
  </sheetData>
  <mergeCells count="9">
    <mergeCell ref="A1:H1"/>
    <mergeCell ref="A2:H2"/>
    <mergeCell ref="A4:H4"/>
    <mergeCell ref="A5:H5"/>
    <mergeCell ref="A6:G6"/>
    <mergeCell ref="A7:H7"/>
    <mergeCell ref="A9:E9"/>
    <mergeCell ref="A20:E20"/>
    <mergeCell ref="A21:E22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34"/>
    <col collapsed="false" customWidth="true" hidden="false" outlineLevel="0" max="6" min="5" style="0" width="6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  <c r="I4" s="12"/>
      <c r="J4" s="12"/>
    </row>
    <row r="5" customFormat="false" ht="24" hidden="false" customHeight="true" outlineLevel="0" collapsed="false">
      <c r="A5" s="13" t="s">
        <v>246</v>
      </c>
      <c r="B5" s="13"/>
      <c r="C5" s="13"/>
      <c r="D5" s="13"/>
      <c r="E5" s="13"/>
      <c r="F5" s="13"/>
      <c r="G5" s="13"/>
      <c r="H5" s="13"/>
      <c r="I5" s="13"/>
      <c r="J5" s="13"/>
    </row>
    <row r="6" customFormat="false" ht="15" hidden="false" customHeight="false" outlineLevel="0" collapsed="false">
      <c r="A6" s="14" t="s">
        <v>247</v>
      </c>
      <c r="B6" s="14"/>
      <c r="C6" s="14"/>
      <c r="D6" s="14"/>
      <c r="E6" s="14"/>
      <c r="F6" s="14"/>
      <c r="G6" s="14"/>
      <c r="H6" s="14"/>
      <c r="I6" s="14"/>
      <c r="J6" s="26" t="s">
        <v>170</v>
      </c>
    </row>
    <row r="7" customFormat="false" ht="15" hidden="false" customHeight="false" outlineLevel="0" collapsed="false">
      <c r="A7" s="15" t="s">
        <v>248</v>
      </c>
      <c r="B7" s="15"/>
      <c r="C7" s="15"/>
      <c r="D7" s="15"/>
      <c r="E7" s="15"/>
      <c r="F7" s="15"/>
      <c r="G7" s="15"/>
      <c r="H7" s="15"/>
      <c r="I7" s="15"/>
      <c r="J7" s="15"/>
    </row>
    <row r="9" customFormat="false" ht="27.75" hidden="false" customHeight="true" outlineLevel="0" collapsed="false">
      <c r="A9" s="16" t="s">
        <v>249</v>
      </c>
      <c r="B9" s="16" t="s">
        <v>250</v>
      </c>
      <c r="C9" s="16" t="s">
        <v>251</v>
      </c>
      <c r="D9" s="16" t="s">
        <v>252</v>
      </c>
      <c r="E9" s="16" t="s">
        <v>253</v>
      </c>
      <c r="F9" s="16" t="s">
        <v>107</v>
      </c>
      <c r="G9" s="16" t="s">
        <v>254</v>
      </c>
      <c r="H9" s="16" t="s">
        <v>255</v>
      </c>
      <c r="I9" s="16" t="s">
        <v>256</v>
      </c>
      <c r="J9" s="16" t="s">
        <v>257</v>
      </c>
    </row>
    <row r="10" customFormat="false" ht="33.75" hidden="false" customHeight="true" outlineLevel="0" collapsed="false">
      <c r="A10" s="27" t="s">
        <v>258</v>
      </c>
      <c r="B10" s="18" t="s">
        <v>259</v>
      </c>
      <c r="C10" s="18" t="s">
        <v>260</v>
      </c>
      <c r="D10" s="46" t="s">
        <v>261</v>
      </c>
      <c r="E10" s="39" t="s">
        <v>262</v>
      </c>
      <c r="F10" s="39" t="s">
        <v>263</v>
      </c>
      <c r="G10" s="47" t="s">
        <v>264</v>
      </c>
      <c r="H10" s="46" t="s">
        <v>265</v>
      </c>
      <c r="I10" s="48" t="s">
        <v>174</v>
      </c>
      <c r="J10" s="49" t="s">
        <v>266</v>
      </c>
    </row>
    <row r="11" customFormat="false" ht="33.75" hidden="false" customHeight="true" outlineLevel="0" collapsed="false">
      <c r="A11" s="27" t="s">
        <v>267</v>
      </c>
      <c r="B11" s="18" t="s">
        <v>90</v>
      </c>
      <c r="C11" s="18" t="s">
        <v>268</v>
      </c>
      <c r="D11" s="46" t="s">
        <v>269</v>
      </c>
      <c r="E11" s="39" t="s">
        <v>270</v>
      </c>
      <c r="F11" s="39" t="s">
        <v>262</v>
      </c>
      <c r="G11" s="47" t="s">
        <v>264</v>
      </c>
      <c r="H11" s="46" t="s">
        <v>271</v>
      </c>
      <c r="I11" s="50" t="s">
        <v>175</v>
      </c>
      <c r="J11" s="49" t="s">
        <v>89</v>
      </c>
    </row>
    <row r="12" customFormat="false" ht="33.75" hidden="false" customHeight="true" outlineLevel="0" collapsed="false">
      <c r="A12" s="27" t="s">
        <v>272</v>
      </c>
      <c r="B12" s="18" t="s">
        <v>273</v>
      </c>
      <c r="C12" s="18" t="s">
        <v>268</v>
      </c>
      <c r="D12" s="46" t="s">
        <v>274</v>
      </c>
      <c r="E12" s="39" t="s">
        <v>262</v>
      </c>
      <c r="F12" s="39" t="s">
        <v>262</v>
      </c>
      <c r="G12" s="47" t="s">
        <v>264</v>
      </c>
      <c r="H12" s="46" t="s">
        <v>275</v>
      </c>
      <c r="I12" s="50" t="s">
        <v>175</v>
      </c>
      <c r="J12" s="49" t="s">
        <v>86</v>
      </c>
    </row>
    <row r="13" customFormat="false" ht="33.75" hidden="false" customHeight="true" outlineLevel="0" collapsed="false">
      <c r="A13" s="27" t="s">
        <v>276</v>
      </c>
      <c r="B13" s="18" t="s">
        <v>277</v>
      </c>
      <c r="C13" s="18" t="s">
        <v>278</v>
      </c>
      <c r="D13" s="46" t="s">
        <v>279</v>
      </c>
      <c r="E13" s="39" t="s">
        <v>280</v>
      </c>
      <c r="F13" s="39" t="s">
        <v>270</v>
      </c>
      <c r="G13" s="22" t="s">
        <v>281</v>
      </c>
      <c r="H13" s="46" t="s">
        <v>282</v>
      </c>
      <c r="I13" s="50" t="s">
        <v>175</v>
      </c>
      <c r="J13" s="49" t="s">
        <v>92</v>
      </c>
    </row>
    <row r="14" customFormat="false" ht="33.75" hidden="false" customHeight="true" outlineLevel="0" collapsed="false">
      <c r="A14" s="27" t="s">
        <v>283</v>
      </c>
      <c r="B14" s="18" t="s">
        <v>284</v>
      </c>
      <c r="C14" s="18" t="s">
        <v>285</v>
      </c>
      <c r="D14" s="46" t="s">
        <v>286</v>
      </c>
      <c r="E14" s="39" t="s">
        <v>270</v>
      </c>
      <c r="F14" s="39" t="s">
        <v>262</v>
      </c>
      <c r="G14" s="47" t="s">
        <v>264</v>
      </c>
      <c r="H14" s="46" t="s">
        <v>287</v>
      </c>
      <c r="I14" s="50" t="s">
        <v>175</v>
      </c>
      <c r="J14" s="49" t="s">
        <v>98</v>
      </c>
    </row>
    <row r="15" customFormat="false" ht="33.75" hidden="false" customHeight="true" outlineLevel="0" collapsed="false">
      <c r="A15" s="27" t="s">
        <v>288</v>
      </c>
      <c r="B15" s="18" t="s">
        <v>105</v>
      </c>
      <c r="C15" s="18" t="s">
        <v>289</v>
      </c>
      <c r="D15" s="46" t="s">
        <v>290</v>
      </c>
      <c r="E15" s="39" t="s">
        <v>270</v>
      </c>
      <c r="F15" s="39" t="s">
        <v>270</v>
      </c>
      <c r="G15" s="22" t="s">
        <v>281</v>
      </c>
      <c r="H15" s="46" t="s">
        <v>291</v>
      </c>
      <c r="I15" s="50" t="s">
        <v>175</v>
      </c>
      <c r="J15" s="49" t="s">
        <v>104</v>
      </c>
    </row>
    <row r="16" customFormat="false" ht="33.75" hidden="false" customHeight="true" outlineLevel="0" collapsed="false">
      <c r="A16" s="27" t="s">
        <v>292</v>
      </c>
      <c r="B16" s="18" t="s">
        <v>293</v>
      </c>
      <c r="C16" s="18" t="s">
        <v>294</v>
      </c>
      <c r="D16" s="46" t="s">
        <v>295</v>
      </c>
      <c r="E16" s="39" t="s">
        <v>280</v>
      </c>
      <c r="F16" s="39" t="s">
        <v>270</v>
      </c>
      <c r="G16" s="22" t="s">
        <v>281</v>
      </c>
      <c r="H16" s="46" t="s">
        <v>296</v>
      </c>
      <c r="I16" s="50" t="s">
        <v>175</v>
      </c>
      <c r="J16" s="49" t="s">
        <v>95</v>
      </c>
    </row>
    <row r="18" customFormat="false" ht="15" hidden="false" customHeight="false" outlineLevel="0" collapsed="false">
      <c r="A18" s="24" t="s">
        <v>297</v>
      </c>
      <c r="B18" s="25" t="s">
        <v>298</v>
      </c>
      <c r="C18" s="25"/>
      <c r="D18" s="25"/>
      <c r="E18" s="25"/>
      <c r="F18" s="25"/>
      <c r="G18" s="25"/>
      <c r="H18" s="25"/>
      <c r="I18" s="25"/>
      <c r="J18" s="25"/>
    </row>
  </sheetData>
  <mergeCells count="7">
    <mergeCell ref="A1:J1"/>
    <mergeCell ref="A2:J2"/>
    <mergeCell ref="A4:J4"/>
    <mergeCell ref="A5:J5"/>
    <mergeCell ref="A6:I6"/>
    <mergeCell ref="A7:J7"/>
    <mergeCell ref="B18:J18"/>
  </mergeCells>
  <hyperlinks>
    <hyperlink ref="J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</row>
    <row r="5" customFormat="false" ht="24" hidden="false" customHeight="true" outlineLevel="0" collapsed="false">
      <c r="A5" s="13" t="s">
        <v>299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300</v>
      </c>
      <c r="B6" s="14"/>
      <c r="C6" s="14"/>
      <c r="D6" s="14"/>
      <c r="E6" s="26" t="s">
        <v>170</v>
      </c>
    </row>
    <row r="7" customFormat="false" ht="15" hidden="false" customHeight="false" outlineLevel="0" collapsed="false">
      <c r="A7" s="15" t="s">
        <v>301</v>
      </c>
      <c r="B7" s="15"/>
      <c r="C7" s="15"/>
      <c r="D7" s="15"/>
      <c r="E7" s="15"/>
    </row>
    <row r="9" customFormat="false" ht="30" hidden="false" customHeight="true" outlineLevel="0" collapsed="false">
      <c r="A9" s="51" t="s">
        <v>302</v>
      </c>
      <c r="B9" s="51"/>
      <c r="C9" s="51"/>
      <c r="D9" s="51"/>
      <c r="E9" s="51"/>
    </row>
    <row r="10" customFormat="false" ht="21.75" hidden="false" customHeight="true" outlineLevel="0" collapsed="false">
      <c r="A10" s="16" t="s">
        <v>172</v>
      </c>
      <c r="B10" s="16" t="s">
        <v>196</v>
      </c>
      <c r="C10" s="16" t="s">
        <v>197</v>
      </c>
      <c r="D10" s="16" t="s">
        <v>175</v>
      </c>
      <c r="E10" s="16" t="s">
        <v>198</v>
      </c>
    </row>
    <row r="11" customFormat="false" ht="25.5" hidden="false" customHeight="true" outlineLevel="0" collapsed="false">
      <c r="A11" s="27" t="n">
        <v>1</v>
      </c>
      <c r="B11" s="28" t="s">
        <v>303</v>
      </c>
      <c r="C11" s="29" t="s">
        <v>178</v>
      </c>
      <c r="D11" s="29" t="s">
        <v>178</v>
      </c>
      <c r="E11" s="18"/>
    </row>
    <row r="12" customFormat="false" ht="25.5" hidden="false" customHeight="true" outlineLevel="0" collapsed="false">
      <c r="A12" s="27" t="n">
        <v>2</v>
      </c>
      <c r="B12" s="28" t="s">
        <v>304</v>
      </c>
      <c r="C12" s="29" t="s">
        <v>178</v>
      </c>
      <c r="D12" s="29" t="s">
        <v>178</v>
      </c>
      <c r="E12" s="18"/>
    </row>
    <row r="13" customFormat="false" ht="25.5" hidden="false" customHeight="true" outlineLevel="0" collapsed="false">
      <c r="A13" s="27" t="n">
        <v>3</v>
      </c>
      <c r="B13" s="28" t="s">
        <v>305</v>
      </c>
      <c r="C13" s="29" t="s">
        <v>178</v>
      </c>
      <c r="D13" s="29" t="s">
        <v>178</v>
      </c>
      <c r="E13" s="18"/>
    </row>
    <row r="14" customFormat="false" ht="25.5" hidden="false" customHeight="true" outlineLevel="0" collapsed="false">
      <c r="A14" s="27" t="n">
        <v>4</v>
      </c>
      <c r="B14" s="28" t="s">
        <v>306</v>
      </c>
      <c r="C14" s="29" t="s">
        <v>178</v>
      </c>
      <c r="D14" s="29" t="s">
        <v>178</v>
      </c>
      <c r="E14" s="18"/>
    </row>
    <row r="15" customFormat="false" ht="25.5" hidden="false" customHeight="true" outlineLevel="0" collapsed="false">
      <c r="A15" s="27" t="n">
        <v>5</v>
      </c>
      <c r="B15" s="28" t="s">
        <v>307</v>
      </c>
      <c r="C15" s="29" t="s">
        <v>178</v>
      </c>
      <c r="D15" s="29" t="s">
        <v>178</v>
      </c>
      <c r="E15" s="18"/>
    </row>
    <row r="16" customFormat="false" ht="25.5" hidden="false" customHeight="true" outlineLevel="0" collapsed="false">
      <c r="A16" s="27" t="n">
        <v>6</v>
      </c>
      <c r="B16" s="28" t="s">
        <v>308</v>
      </c>
      <c r="C16" s="29" t="s">
        <v>178</v>
      </c>
      <c r="D16" s="29" t="s">
        <v>178</v>
      </c>
      <c r="E16" s="18"/>
    </row>
    <row r="17" customFormat="false" ht="25.5" hidden="false" customHeight="true" outlineLevel="0" collapsed="false">
      <c r="A17" s="27" t="n">
        <v>7</v>
      </c>
      <c r="B17" s="28" t="s">
        <v>309</v>
      </c>
      <c r="C17" s="29" t="s">
        <v>178</v>
      </c>
      <c r="D17" s="29" t="s">
        <v>178</v>
      </c>
      <c r="E17" s="18"/>
    </row>
    <row r="18" customFormat="false" ht="25.5" hidden="false" customHeight="true" outlineLevel="0" collapsed="false">
      <c r="A18" s="27" t="n">
        <v>8</v>
      </c>
      <c r="B18" s="28" t="s">
        <v>310</v>
      </c>
      <c r="C18" s="29" t="s">
        <v>178</v>
      </c>
      <c r="D18" s="29" t="s">
        <v>178</v>
      </c>
      <c r="E18" s="18"/>
    </row>
    <row r="20" customFormat="false" ht="15" hidden="false" customHeight="false" outlineLevel="0" collapsed="false">
      <c r="A20" s="30" t="s">
        <v>207</v>
      </c>
      <c r="B20" s="30"/>
      <c r="C20" s="30"/>
      <c r="D20" s="30"/>
      <c r="E20" s="30"/>
    </row>
    <row r="21" customFormat="false" ht="31.5" hidden="false" customHeight="true" outlineLevel="0" collapsed="false">
      <c r="A21" s="34" t="s">
        <v>208</v>
      </c>
      <c r="B21" s="34"/>
      <c r="C21" s="34"/>
      <c r="D21" s="34"/>
      <c r="E21" s="34"/>
    </row>
    <row r="22" customFormat="false" ht="15" hidden="false" customHeight="false" outlineLevel="0" collapsed="false">
      <c r="A22" s="34"/>
      <c r="B22" s="34"/>
      <c r="C22" s="34"/>
      <c r="D22" s="34"/>
      <c r="E22" s="34"/>
    </row>
    <row r="24" customFormat="false" ht="15" hidden="false" customHeight="false" outlineLevel="0" collapsed="false">
      <c r="A24" s="24" t="s">
        <v>188</v>
      </c>
      <c r="B24" s="32" t="s">
        <v>21</v>
      </c>
      <c r="C24" s="33" t="s">
        <v>189</v>
      </c>
      <c r="D24" s="32" t="s">
        <v>190</v>
      </c>
      <c r="E24" s="24" t="s">
        <v>191</v>
      </c>
      <c r="F24" s="32" t="s">
        <v>19</v>
      </c>
      <c r="G24" s="33" t="s">
        <v>189</v>
      </c>
      <c r="H24" s="32" t="s">
        <v>190</v>
      </c>
    </row>
    <row r="25" customFormat="false" ht="15" hidden="false" customHeight="false" outlineLevel="0" collapsed="false">
      <c r="A25" s="24" t="s">
        <v>192</v>
      </c>
      <c r="B25" s="32" t="s">
        <v>17</v>
      </c>
      <c r="C25" s="33" t="s">
        <v>189</v>
      </c>
      <c r="D25" s="32" t="s">
        <v>190</v>
      </c>
    </row>
  </sheetData>
  <mergeCells count="9">
    <mergeCell ref="A1:E1"/>
    <mergeCell ref="A2:E2"/>
    <mergeCell ref="A4:E4"/>
    <mergeCell ref="A5:E5"/>
    <mergeCell ref="A6:D6"/>
    <mergeCell ref="A7:E7"/>
    <mergeCell ref="A9:E9"/>
    <mergeCell ref="A20:E20"/>
    <mergeCell ref="A21:E22"/>
  </mergeCells>
  <hyperlinks>
    <hyperlink ref="E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311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312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313</v>
      </c>
      <c r="B7" s="15"/>
      <c r="C7" s="15"/>
      <c r="D7" s="15"/>
      <c r="E7" s="15"/>
      <c r="F7" s="15"/>
      <c r="G7" s="15"/>
      <c r="H7" s="15"/>
    </row>
    <row r="9" customFormat="false" ht="15" hidden="false" customHeight="false" outlineLevel="0" collapsed="false">
      <c r="A9" s="30" t="s">
        <v>314</v>
      </c>
      <c r="B9" s="30"/>
      <c r="C9" s="30"/>
      <c r="D9" s="30"/>
      <c r="E9" s="30"/>
      <c r="F9" s="30"/>
      <c r="G9" s="30"/>
      <c r="H9" s="30"/>
    </row>
    <row r="10" customFormat="false" ht="30" hidden="false" customHeight="true" outlineLevel="0" collapsed="false">
      <c r="A10" s="52" t="s">
        <v>315</v>
      </c>
      <c r="B10" s="52"/>
      <c r="C10" s="53" t="s">
        <v>316</v>
      </c>
      <c r="D10" s="53"/>
      <c r="E10" s="53"/>
      <c r="F10" s="53"/>
      <c r="G10" s="53"/>
      <c r="H10" s="53"/>
    </row>
    <row r="11" customFormat="false" ht="30" hidden="false" customHeight="true" outlineLevel="0" collapsed="false">
      <c r="A11" s="52" t="s">
        <v>317</v>
      </c>
      <c r="B11" s="52"/>
      <c r="C11" s="53" t="s">
        <v>318</v>
      </c>
      <c r="D11" s="53"/>
      <c r="E11" s="53"/>
      <c r="F11" s="53"/>
      <c r="G11" s="53"/>
      <c r="H11" s="53"/>
    </row>
    <row r="12" customFormat="false" ht="30" hidden="false" customHeight="true" outlineLevel="0" collapsed="false">
      <c r="A12" s="52" t="s">
        <v>319</v>
      </c>
      <c r="B12" s="52"/>
      <c r="C12" s="53" t="s">
        <v>320</v>
      </c>
      <c r="D12" s="53"/>
      <c r="E12" s="53"/>
      <c r="F12" s="53"/>
      <c r="G12" s="53"/>
      <c r="H12" s="53"/>
    </row>
    <row r="13" customFormat="false" ht="30" hidden="false" customHeight="true" outlineLevel="0" collapsed="false">
      <c r="A13" s="52" t="s">
        <v>321</v>
      </c>
      <c r="B13" s="52"/>
      <c r="C13" s="53" t="s">
        <v>322</v>
      </c>
      <c r="D13" s="53"/>
      <c r="E13" s="53"/>
      <c r="F13" s="53"/>
      <c r="G13" s="53"/>
      <c r="H13" s="53"/>
    </row>
    <row r="14" customFormat="false" ht="30" hidden="false" customHeight="true" outlineLevel="0" collapsed="false">
      <c r="A14" s="52" t="s">
        <v>323</v>
      </c>
      <c r="B14" s="52"/>
      <c r="C14" s="53" t="s">
        <v>324</v>
      </c>
      <c r="D14" s="53"/>
      <c r="E14" s="53"/>
      <c r="F14" s="53"/>
      <c r="G14" s="53"/>
      <c r="H14" s="53"/>
    </row>
    <row r="15" customFormat="false" ht="30" hidden="false" customHeight="true" outlineLevel="0" collapsed="false">
      <c r="A15" s="52" t="s">
        <v>64</v>
      </c>
      <c r="B15" s="52"/>
      <c r="C15" s="53" t="s">
        <v>325</v>
      </c>
      <c r="D15" s="53"/>
      <c r="E15" s="53"/>
      <c r="F15" s="53"/>
      <c r="G15" s="53"/>
      <c r="H15" s="53"/>
    </row>
    <row r="17" customFormat="false" ht="15" hidden="false" customHeight="false" outlineLevel="0" collapsed="false">
      <c r="A17" s="30" t="s">
        <v>326</v>
      </c>
      <c r="B17" s="30"/>
      <c r="C17" s="30"/>
      <c r="D17" s="30"/>
      <c r="E17" s="30"/>
      <c r="F17" s="30"/>
      <c r="G17" s="30"/>
      <c r="H17" s="30"/>
    </row>
    <row r="18" customFormat="false" ht="15" hidden="false" customHeight="false" outlineLevel="0" collapsed="false">
      <c r="A18" s="16" t="s">
        <v>327</v>
      </c>
      <c r="B18" s="16" t="s">
        <v>328</v>
      </c>
      <c r="C18" s="16" t="s">
        <v>37</v>
      </c>
      <c r="D18" s="16" t="s">
        <v>329</v>
      </c>
      <c r="E18" s="16" t="s">
        <v>39</v>
      </c>
      <c r="F18" s="16" t="s">
        <v>257</v>
      </c>
      <c r="G18" s="16" t="s">
        <v>330</v>
      </c>
    </row>
    <row r="19" customFormat="false" ht="15" hidden="false" customHeight="false" outlineLevel="0" collapsed="false">
      <c r="A19" s="27" t="s">
        <v>331</v>
      </c>
      <c r="B19" s="28" t="s">
        <v>332</v>
      </c>
      <c r="C19" s="39" t="s">
        <v>333</v>
      </c>
      <c r="D19" s="19" t="s">
        <v>334</v>
      </c>
      <c r="E19" s="21" t="s">
        <v>55</v>
      </c>
      <c r="F19" s="49" t="s">
        <v>51</v>
      </c>
      <c r="G19" s="19" t="s">
        <v>49</v>
      </c>
    </row>
    <row r="20" customFormat="false" ht="15" hidden="false" customHeight="false" outlineLevel="0" collapsed="false">
      <c r="A20" s="27" t="s">
        <v>280</v>
      </c>
      <c r="B20" s="28" t="s">
        <v>335</v>
      </c>
      <c r="C20" s="39" t="s">
        <v>333</v>
      </c>
      <c r="D20" s="19" t="s">
        <v>336</v>
      </c>
      <c r="E20" s="21" t="s">
        <v>55</v>
      </c>
      <c r="F20" s="49" t="s">
        <v>51</v>
      </c>
      <c r="G20" s="19" t="s">
        <v>50</v>
      </c>
    </row>
    <row r="21" customFormat="false" ht="15" hidden="false" customHeight="false" outlineLevel="0" collapsed="false">
      <c r="A21" s="27" t="s">
        <v>270</v>
      </c>
      <c r="B21" s="28" t="s">
        <v>337</v>
      </c>
      <c r="C21" s="39" t="s">
        <v>331</v>
      </c>
      <c r="D21" s="19" t="s">
        <v>62</v>
      </c>
      <c r="E21" s="21" t="s">
        <v>55</v>
      </c>
      <c r="F21" s="49" t="s">
        <v>66</v>
      </c>
      <c r="G21" s="19" t="s">
        <v>48</v>
      </c>
    </row>
    <row r="22" customFormat="false" ht="15" hidden="false" customHeight="false" outlineLevel="0" collapsed="false">
      <c r="A22" s="27" t="s">
        <v>262</v>
      </c>
      <c r="B22" s="28" t="s">
        <v>338</v>
      </c>
      <c r="C22" s="39" t="s">
        <v>331</v>
      </c>
      <c r="D22" s="19" t="s">
        <v>62</v>
      </c>
      <c r="E22" s="21" t="s">
        <v>55</v>
      </c>
      <c r="F22" s="49" t="s">
        <v>66</v>
      </c>
      <c r="G22" s="19" t="s">
        <v>49</v>
      </c>
    </row>
    <row r="23" customFormat="false" ht="15" hidden="false" customHeight="false" outlineLevel="0" collapsed="false">
      <c r="A23" s="27" t="s">
        <v>263</v>
      </c>
      <c r="B23" s="28" t="s">
        <v>339</v>
      </c>
      <c r="C23" s="39" t="s">
        <v>331</v>
      </c>
      <c r="D23" s="19" t="s">
        <v>65</v>
      </c>
      <c r="E23" s="21" t="s">
        <v>55</v>
      </c>
      <c r="F23" s="49" t="s">
        <v>63</v>
      </c>
      <c r="G23" s="19" t="s">
        <v>49</v>
      </c>
    </row>
    <row r="24" customFormat="false" ht="15" hidden="false" customHeight="false" outlineLevel="0" collapsed="false">
      <c r="A24" s="27" t="s">
        <v>340</v>
      </c>
      <c r="B24" s="28" t="s">
        <v>341</v>
      </c>
      <c r="C24" s="39" t="s">
        <v>331</v>
      </c>
      <c r="D24" s="19" t="s">
        <v>74</v>
      </c>
      <c r="E24" s="21" t="s">
        <v>55</v>
      </c>
      <c r="F24" s="49" t="s">
        <v>72</v>
      </c>
      <c r="G24" s="19" t="s">
        <v>50</v>
      </c>
    </row>
    <row r="25" customFormat="false" ht="15" hidden="false" customHeight="false" outlineLevel="0" collapsed="false">
      <c r="A25" s="27" t="s">
        <v>342</v>
      </c>
      <c r="B25" s="28" t="s">
        <v>343</v>
      </c>
      <c r="C25" s="39" t="s">
        <v>331</v>
      </c>
      <c r="D25" s="19" t="s">
        <v>118</v>
      </c>
      <c r="E25" s="21" t="s">
        <v>55</v>
      </c>
      <c r="F25" s="49" t="s">
        <v>116</v>
      </c>
      <c r="G25" s="19" t="s">
        <v>48</v>
      </c>
    </row>
    <row r="26" customFormat="false" ht="15" hidden="false" customHeight="false" outlineLevel="0" collapsed="false">
      <c r="A26" s="27" t="s">
        <v>344</v>
      </c>
      <c r="B26" s="28" t="s">
        <v>345</v>
      </c>
      <c r="C26" s="39" t="s">
        <v>331</v>
      </c>
      <c r="D26" s="19" t="s">
        <v>146</v>
      </c>
      <c r="E26" s="21" t="s">
        <v>55</v>
      </c>
      <c r="F26" s="49" t="s">
        <v>143</v>
      </c>
      <c r="G26" s="19" t="s">
        <v>49</v>
      </c>
    </row>
    <row r="27" customFormat="false" ht="15" hidden="false" customHeight="false" outlineLevel="0" collapsed="false">
      <c r="A27" s="27" t="s">
        <v>346</v>
      </c>
      <c r="B27" s="28" t="s">
        <v>347</v>
      </c>
      <c r="C27" s="39" t="s">
        <v>280</v>
      </c>
      <c r="D27" s="19" t="s">
        <v>348</v>
      </c>
      <c r="E27" s="22" t="s">
        <v>79</v>
      </c>
      <c r="F27" s="49" t="s">
        <v>349</v>
      </c>
      <c r="G27" s="19" t="s">
        <v>48</v>
      </c>
    </row>
    <row r="28" customFormat="false" ht="15" hidden="false" customHeight="false" outlineLevel="0" collapsed="false">
      <c r="A28" s="27" t="s">
        <v>350</v>
      </c>
      <c r="B28" s="28" t="s">
        <v>351</v>
      </c>
      <c r="C28" s="39" t="s">
        <v>280</v>
      </c>
      <c r="D28" s="19" t="s">
        <v>46</v>
      </c>
      <c r="E28" s="22" t="s">
        <v>79</v>
      </c>
      <c r="F28" s="49" t="s">
        <v>75</v>
      </c>
      <c r="G28" s="19" t="s">
        <v>49</v>
      </c>
    </row>
    <row r="29" customFormat="false" ht="15" hidden="false" customHeight="false" outlineLevel="0" collapsed="false">
      <c r="A29" s="27" t="s">
        <v>352</v>
      </c>
      <c r="B29" s="28" t="s">
        <v>353</v>
      </c>
      <c r="C29" s="39" t="s">
        <v>270</v>
      </c>
      <c r="D29" s="19" t="s">
        <v>334</v>
      </c>
      <c r="E29" s="23" t="s">
        <v>136</v>
      </c>
      <c r="F29" s="49" t="s">
        <v>45</v>
      </c>
      <c r="G29" s="19" t="s">
        <v>49</v>
      </c>
    </row>
    <row r="30" customFormat="false" ht="15" hidden="false" customHeight="false" outlineLevel="0" collapsed="false">
      <c r="A30" s="27" t="s">
        <v>354</v>
      </c>
      <c r="B30" s="28" t="s">
        <v>355</v>
      </c>
      <c r="C30" s="39" t="s">
        <v>270</v>
      </c>
      <c r="D30" s="19" t="s">
        <v>82</v>
      </c>
      <c r="E30" s="23" t="s">
        <v>136</v>
      </c>
      <c r="F30" s="49" t="s">
        <v>133</v>
      </c>
      <c r="G30" s="19" t="s">
        <v>49</v>
      </c>
    </row>
    <row r="31" customFormat="false" ht="15" hidden="false" customHeight="false" outlineLevel="0" collapsed="false">
      <c r="A31" s="27" t="s">
        <v>356</v>
      </c>
      <c r="B31" s="28" t="s">
        <v>357</v>
      </c>
      <c r="C31" s="39" t="s">
        <v>262</v>
      </c>
      <c r="D31" s="19" t="s">
        <v>149</v>
      </c>
      <c r="E31" s="23" t="s">
        <v>136</v>
      </c>
      <c r="F31" s="49" t="s">
        <v>147</v>
      </c>
      <c r="G31" s="19" t="s">
        <v>48</v>
      </c>
    </row>
    <row r="32" customFormat="false" ht="15" hidden="false" customHeight="false" outlineLevel="0" collapsed="false">
      <c r="A32" s="27" t="s">
        <v>358</v>
      </c>
      <c r="B32" s="28" t="s">
        <v>359</v>
      </c>
      <c r="C32" s="39" t="s">
        <v>262</v>
      </c>
      <c r="D32" s="19" t="s">
        <v>152</v>
      </c>
      <c r="E32" s="23" t="s">
        <v>136</v>
      </c>
      <c r="F32" s="49" t="s">
        <v>45</v>
      </c>
      <c r="G32" s="19" t="s">
        <v>49</v>
      </c>
    </row>
    <row r="33" customFormat="false" ht="15" hidden="false" customHeight="false" outlineLevel="0" collapsed="false">
      <c r="A33" s="27" t="s">
        <v>360</v>
      </c>
      <c r="B33" s="28" t="s">
        <v>361</v>
      </c>
      <c r="C33" s="39" t="s">
        <v>262</v>
      </c>
      <c r="D33" s="19" t="s">
        <v>362</v>
      </c>
      <c r="E33" s="23" t="s">
        <v>136</v>
      </c>
      <c r="F33" s="49" t="s">
        <v>156</v>
      </c>
      <c r="G33" s="19" t="s">
        <v>50</v>
      </c>
    </row>
    <row r="34" customFormat="false" ht="15" hidden="false" customHeight="false" outlineLevel="0" collapsed="false">
      <c r="A34" s="27" t="s">
        <v>363</v>
      </c>
      <c r="B34" s="28" t="s">
        <v>364</v>
      </c>
      <c r="C34" s="39" t="s">
        <v>262</v>
      </c>
      <c r="D34" s="19" t="s">
        <v>365</v>
      </c>
      <c r="E34" s="23" t="s">
        <v>136</v>
      </c>
      <c r="F34" s="49" t="s">
        <v>45</v>
      </c>
      <c r="G34" s="19" t="s">
        <v>50</v>
      </c>
    </row>
    <row r="35" customFormat="false" ht="15" hidden="false" customHeight="false" outlineLevel="0" collapsed="false">
      <c r="A35" s="27" t="s">
        <v>366</v>
      </c>
      <c r="B35" s="28" t="s">
        <v>367</v>
      </c>
      <c r="C35" s="39" t="s">
        <v>262</v>
      </c>
      <c r="D35" s="19" t="s">
        <v>362</v>
      </c>
      <c r="E35" s="23" t="s">
        <v>136</v>
      </c>
      <c r="F35" s="49" t="s">
        <v>156</v>
      </c>
      <c r="G35" s="19" t="s">
        <v>50</v>
      </c>
    </row>
    <row r="36" customFormat="false" ht="15" hidden="false" customHeight="false" outlineLevel="0" collapsed="false">
      <c r="A36" s="27" t="s">
        <v>368</v>
      </c>
      <c r="B36" s="28" t="s">
        <v>369</v>
      </c>
      <c r="C36" s="39" t="s">
        <v>263</v>
      </c>
      <c r="D36" s="19" t="s">
        <v>46</v>
      </c>
      <c r="E36" s="23" t="s">
        <v>136</v>
      </c>
      <c r="F36" s="49" t="s">
        <v>45</v>
      </c>
      <c r="G36" s="19" t="s">
        <v>49</v>
      </c>
    </row>
  </sheetData>
  <mergeCells count="20">
    <mergeCell ref="A1:H1"/>
    <mergeCell ref="A2:H2"/>
    <mergeCell ref="A4:H4"/>
    <mergeCell ref="A5:H5"/>
    <mergeCell ref="A6:G6"/>
    <mergeCell ref="A7:H7"/>
    <mergeCell ref="A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7:H17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370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371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372</v>
      </c>
      <c r="B7" s="15"/>
      <c r="C7" s="15"/>
      <c r="D7" s="15"/>
      <c r="E7" s="15"/>
      <c r="F7" s="15"/>
      <c r="G7" s="15"/>
      <c r="H7" s="15"/>
    </row>
    <row r="9" customFormat="false" ht="27.75" hidden="false" customHeight="true" outlineLevel="0" collapsed="false">
      <c r="A9" s="16" t="s">
        <v>373</v>
      </c>
      <c r="B9" s="16" t="s">
        <v>374</v>
      </c>
      <c r="C9" s="16" t="s">
        <v>375</v>
      </c>
      <c r="D9" s="16" t="s">
        <v>376</v>
      </c>
      <c r="E9" s="16" t="s">
        <v>377</v>
      </c>
      <c r="F9" s="16" t="s">
        <v>80</v>
      </c>
      <c r="G9" s="16" t="s">
        <v>378</v>
      </c>
      <c r="H9" s="16" t="s">
        <v>379</v>
      </c>
    </row>
    <row r="10" customFormat="false" ht="15" hidden="false" customHeight="false" outlineLevel="0" collapsed="false">
      <c r="A10" s="54" t="s">
        <v>380</v>
      </c>
      <c r="B10" s="27" t="s">
        <v>381</v>
      </c>
      <c r="C10" s="18" t="s">
        <v>382</v>
      </c>
      <c r="D10" s="41" t="n">
        <v>18420500000</v>
      </c>
      <c r="E10" s="41" t="n">
        <v>21905300000</v>
      </c>
      <c r="F10" s="41" t="n">
        <v>0</v>
      </c>
      <c r="G10" s="55" t="n">
        <f aca="false">E10+F10</f>
        <v>21905300000</v>
      </c>
      <c r="H10" s="56" t="s">
        <v>83</v>
      </c>
    </row>
    <row r="11" customFormat="false" ht="15" hidden="false" customHeight="false" outlineLevel="0" collapsed="false">
      <c r="A11" s="54" t="s">
        <v>380</v>
      </c>
      <c r="B11" s="27" t="s">
        <v>383</v>
      </c>
      <c r="C11" s="18" t="s">
        <v>384</v>
      </c>
      <c r="D11" s="41" t="n">
        <v>42180900000</v>
      </c>
      <c r="E11" s="41" t="n">
        <v>51322400000</v>
      </c>
      <c r="F11" s="41" t="n">
        <v>-1850000000</v>
      </c>
      <c r="G11" s="55" t="n">
        <f aca="false">E11+F11</f>
        <v>49472400000</v>
      </c>
      <c r="H11" s="56" t="s">
        <v>86</v>
      </c>
    </row>
    <row r="12" customFormat="false" ht="15" hidden="false" customHeight="false" outlineLevel="0" collapsed="false">
      <c r="A12" s="54" t="s">
        <v>380</v>
      </c>
      <c r="B12" s="27" t="s">
        <v>385</v>
      </c>
      <c r="C12" s="18" t="s">
        <v>386</v>
      </c>
      <c r="D12" s="41" t="n">
        <v>-2109000000</v>
      </c>
      <c r="E12" s="41" t="n">
        <v>-1980000000</v>
      </c>
      <c r="F12" s="41" t="n">
        <v>-620000000</v>
      </c>
      <c r="G12" s="55" t="n">
        <f aca="false">E12+F12</f>
        <v>-2600000000</v>
      </c>
      <c r="H12" s="56" t="s">
        <v>86</v>
      </c>
    </row>
    <row r="13" customFormat="false" ht="15" hidden="false" customHeight="false" outlineLevel="0" collapsed="false">
      <c r="A13" s="54" t="s">
        <v>380</v>
      </c>
      <c r="B13" s="27" t="s">
        <v>387</v>
      </c>
      <c r="C13" s="18" t="s">
        <v>90</v>
      </c>
      <c r="D13" s="41" t="n">
        <v>64550200000</v>
      </c>
      <c r="E13" s="41" t="n">
        <v>78904100000</v>
      </c>
      <c r="F13" s="41" t="n">
        <v>-2340000000</v>
      </c>
      <c r="G13" s="55" t="n">
        <f aca="false">E13+F13</f>
        <v>76564100000</v>
      </c>
      <c r="H13" s="56" t="s">
        <v>89</v>
      </c>
    </row>
    <row r="14" customFormat="false" ht="15" hidden="false" customHeight="false" outlineLevel="0" collapsed="false">
      <c r="A14" s="54" t="s">
        <v>380</v>
      </c>
      <c r="B14" s="27" t="s">
        <v>388</v>
      </c>
      <c r="C14" s="18" t="s">
        <v>389</v>
      </c>
      <c r="D14" s="41" t="n">
        <v>3902100000</v>
      </c>
      <c r="E14" s="41" t="n">
        <v>4551800000</v>
      </c>
      <c r="F14" s="41" t="n">
        <v>0</v>
      </c>
      <c r="G14" s="55" t="n">
        <f aca="false">E14+F14</f>
        <v>4551800000</v>
      </c>
      <c r="H14" s="56" t="s">
        <v>104</v>
      </c>
    </row>
    <row r="15" customFormat="false" ht="15" hidden="false" customHeight="false" outlineLevel="0" collapsed="false">
      <c r="A15" s="54" t="s">
        <v>380</v>
      </c>
      <c r="B15" s="27" t="s">
        <v>390</v>
      </c>
      <c r="C15" s="18" t="s">
        <v>391</v>
      </c>
      <c r="D15" s="41" t="n">
        <v>1780400000</v>
      </c>
      <c r="E15" s="41" t="n">
        <v>2104600000</v>
      </c>
      <c r="F15" s="41" t="n">
        <v>0</v>
      </c>
      <c r="G15" s="55" t="n">
        <f aca="false">E15+F15</f>
        <v>2104600000</v>
      </c>
      <c r="H15" s="56" t="s">
        <v>92</v>
      </c>
    </row>
    <row r="16" customFormat="false" ht="15" hidden="false" customHeight="false" outlineLevel="0" collapsed="false">
      <c r="A16" s="54" t="s">
        <v>392</v>
      </c>
      <c r="B16" s="27" t="s">
        <v>393</v>
      </c>
      <c r="C16" s="18" t="s">
        <v>394</v>
      </c>
      <c r="D16" s="41" t="n">
        <v>183209000000</v>
      </c>
      <c r="E16" s="41" t="n">
        <v>200339700000</v>
      </c>
      <c r="F16" s="41" t="n">
        <v>0</v>
      </c>
      <c r="G16" s="55" t="n">
        <f aca="false">E16+F16</f>
        <v>200339700000</v>
      </c>
      <c r="H16" s="56" t="s">
        <v>92</v>
      </c>
    </row>
    <row r="17" customFormat="false" ht="15" hidden="false" customHeight="false" outlineLevel="0" collapsed="false">
      <c r="A17" s="54" t="s">
        <v>392</v>
      </c>
      <c r="B17" s="27" t="s">
        <v>395</v>
      </c>
      <c r="C17" s="18" t="s">
        <v>396</v>
      </c>
      <c r="D17" s="41" t="n">
        <v>-50860000000</v>
      </c>
      <c r="E17" s="41" t="n">
        <v>-57180000000</v>
      </c>
      <c r="F17" s="41" t="n">
        <v>-1120000000</v>
      </c>
      <c r="G17" s="55" t="n">
        <f aca="false">E17+F17</f>
        <v>-58300000000</v>
      </c>
      <c r="H17" s="56" t="s">
        <v>92</v>
      </c>
    </row>
    <row r="18" customFormat="false" ht="15" hidden="false" customHeight="false" outlineLevel="0" collapsed="false">
      <c r="A18" s="54" t="s">
        <v>392</v>
      </c>
      <c r="B18" s="27" t="s">
        <v>397</v>
      </c>
      <c r="C18" s="18" t="s">
        <v>398</v>
      </c>
      <c r="D18" s="41" t="n">
        <v>8400000000</v>
      </c>
      <c r="E18" s="41" t="n">
        <v>9600000000</v>
      </c>
      <c r="F18" s="41" t="n">
        <v>0</v>
      </c>
      <c r="G18" s="55" t="n">
        <f aca="false">E18+F18</f>
        <v>9600000000</v>
      </c>
      <c r="H18" s="56" t="s">
        <v>92</v>
      </c>
    </row>
    <row r="19" customFormat="false" ht="15" hidden="false" customHeight="false" outlineLevel="0" collapsed="false">
      <c r="A19" s="54" t="s">
        <v>392</v>
      </c>
      <c r="B19" s="27" t="s">
        <v>399</v>
      </c>
      <c r="C19" s="18" t="s">
        <v>400</v>
      </c>
      <c r="D19" s="41" t="n">
        <v>-3360000000</v>
      </c>
      <c r="E19" s="41" t="n">
        <v>-4700000000</v>
      </c>
      <c r="F19" s="41" t="n">
        <v>0</v>
      </c>
      <c r="G19" s="55" t="n">
        <f aca="false">E19+F19</f>
        <v>-4700000000</v>
      </c>
      <c r="H19" s="56" t="s">
        <v>92</v>
      </c>
    </row>
    <row r="20" customFormat="false" ht="15" hidden="false" customHeight="false" outlineLevel="0" collapsed="false">
      <c r="A20" s="54" t="s">
        <v>392</v>
      </c>
      <c r="B20" s="27" t="s">
        <v>401</v>
      </c>
      <c r="C20" s="18" t="s">
        <v>402</v>
      </c>
      <c r="D20" s="41" t="n">
        <v>0</v>
      </c>
      <c r="E20" s="41" t="n">
        <v>12640000000</v>
      </c>
      <c r="F20" s="41" t="n">
        <v>0</v>
      </c>
      <c r="G20" s="55" t="n">
        <f aca="false">E20+F20</f>
        <v>12640000000</v>
      </c>
      <c r="H20" s="56" t="s">
        <v>95</v>
      </c>
    </row>
    <row r="21" customFormat="false" ht="15" hidden="false" customHeight="false" outlineLevel="0" collapsed="false">
      <c r="A21" s="54" t="s">
        <v>392</v>
      </c>
      <c r="B21" s="27" t="s">
        <v>403</v>
      </c>
      <c r="C21" s="18" t="s">
        <v>404</v>
      </c>
      <c r="D21" s="41" t="n">
        <v>4110000000</v>
      </c>
      <c r="E21" s="41" t="n">
        <v>4980000000</v>
      </c>
      <c r="F21" s="41" t="n">
        <v>470000000</v>
      </c>
      <c r="G21" s="55" t="n">
        <f aca="false">E21+F21</f>
        <v>5450000000</v>
      </c>
      <c r="H21" s="56" t="s">
        <v>104</v>
      </c>
    </row>
    <row r="22" customFormat="false" ht="15" hidden="false" customHeight="false" outlineLevel="0" collapsed="false">
      <c r="A22" s="54" t="s">
        <v>405</v>
      </c>
      <c r="B22" s="27" t="s">
        <v>406</v>
      </c>
      <c r="C22" s="18" t="s">
        <v>407</v>
      </c>
      <c r="D22" s="41" t="n">
        <v>-38220700000</v>
      </c>
      <c r="E22" s="41" t="n">
        <v>-44900300000</v>
      </c>
      <c r="F22" s="41" t="n">
        <v>0</v>
      </c>
      <c r="G22" s="55" t="n">
        <f aca="false">E22+F22</f>
        <v>-44900300000</v>
      </c>
      <c r="H22" s="56" t="s">
        <v>98</v>
      </c>
    </row>
    <row r="23" customFormat="false" ht="15" hidden="false" customHeight="false" outlineLevel="0" collapsed="false">
      <c r="A23" s="54" t="s">
        <v>405</v>
      </c>
      <c r="B23" s="27" t="s">
        <v>408</v>
      </c>
      <c r="C23" s="18" t="s">
        <v>409</v>
      </c>
      <c r="D23" s="41" t="n">
        <v>-25000000000</v>
      </c>
      <c r="E23" s="41" t="n">
        <v>-31500000000</v>
      </c>
      <c r="F23" s="41" t="n">
        <v>0</v>
      </c>
      <c r="G23" s="55" t="n">
        <f aca="false">E23+F23</f>
        <v>-31500000000</v>
      </c>
      <c r="H23" s="56" t="s">
        <v>101</v>
      </c>
    </row>
    <row r="24" customFormat="false" ht="15" hidden="false" customHeight="false" outlineLevel="0" collapsed="false">
      <c r="A24" s="54" t="s">
        <v>405</v>
      </c>
      <c r="B24" s="27" t="s">
        <v>410</v>
      </c>
      <c r="C24" s="18" t="s">
        <v>284</v>
      </c>
      <c r="D24" s="41" t="n">
        <v>-6440200000</v>
      </c>
      <c r="E24" s="41" t="n">
        <v>-8120900000</v>
      </c>
      <c r="F24" s="41" t="n">
        <v>-980000000</v>
      </c>
      <c r="G24" s="55" t="n">
        <f aca="false">E24+F24</f>
        <v>-9100900000</v>
      </c>
      <c r="H24" s="56" t="s">
        <v>98</v>
      </c>
    </row>
    <row r="25" customFormat="false" ht="15" hidden="false" customHeight="false" outlineLevel="0" collapsed="false">
      <c r="A25" s="54" t="s">
        <v>405</v>
      </c>
      <c r="B25" s="27" t="s">
        <v>411</v>
      </c>
      <c r="C25" s="18" t="s">
        <v>412</v>
      </c>
      <c r="D25" s="41" t="n">
        <v>-4980300000</v>
      </c>
      <c r="E25" s="41" t="n">
        <v>-6220100000</v>
      </c>
      <c r="F25" s="41" t="n">
        <v>0</v>
      </c>
      <c r="G25" s="55" t="n">
        <f aca="false">E25+F25</f>
        <v>-6220100000</v>
      </c>
      <c r="H25" s="56" t="s">
        <v>104</v>
      </c>
    </row>
    <row r="26" customFormat="false" ht="15" hidden="false" customHeight="false" outlineLevel="0" collapsed="false">
      <c r="A26" s="54" t="s">
        <v>405</v>
      </c>
      <c r="B26" s="27" t="s">
        <v>413</v>
      </c>
      <c r="C26" s="18" t="s">
        <v>414</v>
      </c>
      <c r="D26" s="41" t="n">
        <v>0</v>
      </c>
      <c r="E26" s="41" t="n">
        <v>-3180000000</v>
      </c>
      <c r="F26" s="41" t="n">
        <v>0</v>
      </c>
      <c r="G26" s="55" t="n">
        <f aca="false">E26+F26</f>
        <v>-3180000000</v>
      </c>
      <c r="H26" s="56" t="s">
        <v>95</v>
      </c>
    </row>
    <row r="27" customFormat="false" ht="15" hidden="false" customHeight="false" outlineLevel="0" collapsed="false">
      <c r="A27" s="54" t="s">
        <v>415</v>
      </c>
      <c r="B27" s="27" t="s">
        <v>416</v>
      </c>
      <c r="C27" s="18" t="s">
        <v>417</v>
      </c>
      <c r="D27" s="41" t="n">
        <v>-42000000000</v>
      </c>
      <c r="E27" s="41" t="n">
        <v>-38500000000</v>
      </c>
      <c r="F27" s="41" t="n">
        <v>0</v>
      </c>
      <c r="G27" s="55" t="n">
        <f aca="false">E27+F27</f>
        <v>-38500000000</v>
      </c>
      <c r="H27" s="56" t="s">
        <v>101</v>
      </c>
    </row>
    <row r="28" customFormat="false" ht="15" hidden="false" customHeight="false" outlineLevel="0" collapsed="false">
      <c r="A28" s="54" t="s">
        <v>415</v>
      </c>
      <c r="B28" s="27" t="s">
        <v>418</v>
      </c>
      <c r="C28" s="18" t="s">
        <v>419</v>
      </c>
      <c r="D28" s="41" t="n">
        <v>0</v>
      </c>
      <c r="E28" s="41" t="n">
        <v>-9620000000</v>
      </c>
      <c r="F28" s="41" t="n">
        <v>0</v>
      </c>
      <c r="G28" s="55" t="n">
        <f aca="false">E28+F28</f>
        <v>-9620000000</v>
      </c>
      <c r="H28" s="56" t="s">
        <v>95</v>
      </c>
    </row>
    <row r="29" customFormat="false" ht="15" hidden="false" customHeight="false" outlineLevel="0" collapsed="false">
      <c r="A29" s="54" t="s">
        <v>415</v>
      </c>
      <c r="B29" s="27" t="s">
        <v>420</v>
      </c>
      <c r="C29" s="18" t="s">
        <v>421</v>
      </c>
      <c r="D29" s="41" t="n">
        <v>-11220000000</v>
      </c>
      <c r="E29" s="41" t="n">
        <v>-13080000000</v>
      </c>
      <c r="F29" s="41" t="n">
        <v>0</v>
      </c>
      <c r="G29" s="55" t="n">
        <f aca="false">E29+F29</f>
        <v>-13080000000</v>
      </c>
      <c r="H29" s="56" t="s">
        <v>107</v>
      </c>
    </row>
    <row r="30" customFormat="false" ht="15" hidden="false" customHeight="false" outlineLevel="0" collapsed="false">
      <c r="A30" s="54" t="s">
        <v>111</v>
      </c>
      <c r="B30" s="27" t="s">
        <v>422</v>
      </c>
      <c r="C30" s="18" t="s">
        <v>423</v>
      </c>
      <c r="D30" s="41" t="n">
        <v>-60000000000</v>
      </c>
      <c r="E30" s="41" t="n">
        <v>-60000000000</v>
      </c>
      <c r="F30" s="41" t="n">
        <v>0</v>
      </c>
      <c r="G30" s="55" t="n">
        <f aca="false">E30+F30</f>
        <v>-60000000000</v>
      </c>
      <c r="H30" s="56" t="s">
        <v>110</v>
      </c>
    </row>
    <row r="31" customFormat="false" ht="15" hidden="false" customHeight="false" outlineLevel="0" collapsed="false">
      <c r="A31" s="54" t="s">
        <v>111</v>
      </c>
      <c r="B31" s="27" t="s">
        <v>424</v>
      </c>
      <c r="C31" s="18" t="s">
        <v>425</v>
      </c>
      <c r="D31" s="41" t="n">
        <v>-82362900000</v>
      </c>
      <c r="E31" s="41" t="n">
        <v>-100456600000</v>
      </c>
      <c r="F31" s="41" t="n">
        <v>0</v>
      </c>
      <c r="G31" s="55" t="n">
        <f aca="false">E31+F31</f>
        <v>-100456600000</v>
      </c>
      <c r="H31" s="56" t="s">
        <v>110</v>
      </c>
    </row>
    <row r="32" customFormat="false" ht="15" hidden="false" customHeight="false" outlineLevel="0" collapsed="false">
      <c r="A32" s="54" t="s">
        <v>259</v>
      </c>
      <c r="B32" s="27" t="s">
        <v>426</v>
      </c>
      <c r="C32" s="18" t="s">
        <v>427</v>
      </c>
      <c r="D32" s="41" t="n">
        <v>-284500000000</v>
      </c>
      <c r="E32" s="41" t="n">
        <v>-331900000000</v>
      </c>
      <c r="F32" s="41" t="n">
        <v>1850000000</v>
      </c>
      <c r="G32" s="55" t="n">
        <f aca="false">E32+F32</f>
        <v>-330050000000</v>
      </c>
      <c r="H32" s="56" t="s">
        <v>113</v>
      </c>
    </row>
    <row r="33" customFormat="false" ht="15" hidden="false" customHeight="false" outlineLevel="0" collapsed="false">
      <c r="A33" s="54" t="s">
        <v>428</v>
      </c>
      <c r="B33" s="27" t="s">
        <v>429</v>
      </c>
      <c r="C33" s="18" t="s">
        <v>430</v>
      </c>
      <c r="D33" s="41" t="n">
        <v>198420000000</v>
      </c>
      <c r="E33" s="41" t="n">
        <v>230140000000</v>
      </c>
      <c r="F33" s="41" t="n">
        <v>2340000000</v>
      </c>
      <c r="G33" s="55" t="n">
        <f aca="false">E33+F33</f>
        <v>232480000000</v>
      </c>
      <c r="H33" s="56" t="s">
        <v>113</v>
      </c>
    </row>
    <row r="34" customFormat="false" ht="15" hidden="false" customHeight="false" outlineLevel="0" collapsed="false">
      <c r="A34" s="54" t="s">
        <v>428</v>
      </c>
      <c r="B34" s="27" t="s">
        <v>431</v>
      </c>
      <c r="C34" s="18" t="s">
        <v>432</v>
      </c>
      <c r="D34" s="41" t="n">
        <v>22180000000</v>
      </c>
      <c r="E34" s="41" t="n">
        <v>26440000000</v>
      </c>
      <c r="F34" s="41" t="n">
        <v>0</v>
      </c>
      <c r="G34" s="55" t="n">
        <f aca="false">E34+F34</f>
        <v>26440000000</v>
      </c>
      <c r="H34" s="56" t="s">
        <v>113</v>
      </c>
    </row>
    <row r="35" customFormat="false" ht="15" hidden="false" customHeight="false" outlineLevel="0" collapsed="false">
      <c r="A35" s="54" t="s">
        <v>428</v>
      </c>
      <c r="B35" s="27" t="s">
        <v>433</v>
      </c>
      <c r="C35" s="18" t="s">
        <v>434</v>
      </c>
      <c r="D35" s="41" t="n">
        <v>31990000000</v>
      </c>
      <c r="E35" s="41" t="n">
        <v>36720000000</v>
      </c>
      <c r="F35" s="41" t="n">
        <v>2720000000</v>
      </c>
      <c r="G35" s="55" t="n">
        <f aca="false">E35+F35</f>
        <v>39440000000</v>
      </c>
      <c r="H35" s="56" t="s">
        <v>113</v>
      </c>
    </row>
    <row r="36" customFormat="false" ht="15" hidden="false" customHeight="false" outlineLevel="0" collapsed="false">
      <c r="A36" s="54" t="s">
        <v>428</v>
      </c>
      <c r="B36" s="27" t="s">
        <v>435</v>
      </c>
      <c r="C36" s="18" t="s">
        <v>436</v>
      </c>
      <c r="D36" s="41" t="n">
        <v>7220000000</v>
      </c>
      <c r="E36" s="41" t="n">
        <v>8910000000</v>
      </c>
      <c r="F36" s="41" t="n">
        <v>0</v>
      </c>
      <c r="G36" s="55" t="n">
        <f aca="false">E36+F36</f>
        <v>8910000000</v>
      </c>
      <c r="H36" s="56" t="s">
        <v>113</v>
      </c>
    </row>
    <row r="37" customFormat="false" ht="15" hidden="false" customHeight="false" outlineLevel="0" collapsed="false">
      <c r="A37" s="54" t="s">
        <v>428</v>
      </c>
      <c r="B37" s="27" t="s">
        <v>437</v>
      </c>
      <c r="C37" s="18" t="s">
        <v>438</v>
      </c>
      <c r="D37" s="41" t="n">
        <v>9180000000</v>
      </c>
      <c r="E37" s="41" t="n">
        <v>11240000000</v>
      </c>
      <c r="F37" s="41" t="n">
        <v>-470000000</v>
      </c>
      <c r="G37" s="55" t="n">
        <f aca="false">E37+F37</f>
        <v>10770000000</v>
      </c>
      <c r="H37" s="56" t="s">
        <v>104</v>
      </c>
    </row>
    <row r="38" customFormat="false" ht="15" hidden="false" customHeight="false" outlineLevel="0" collapsed="false">
      <c r="C38" s="57" t="s">
        <v>439</v>
      </c>
      <c r="D38" s="58" t="n">
        <f aca="false">SUM(D10:D37)</f>
        <v>-15510000000</v>
      </c>
      <c r="E38" s="58" t="n">
        <f aca="false">SUM(E10:E37)</f>
        <v>-11540000000</v>
      </c>
      <c r="F38" s="58" t="n">
        <f aca="false">SUM(F10:F37)</f>
        <v>0</v>
      </c>
      <c r="G38" s="58" t="n">
        <f aca="false">SUM(G10:G37)</f>
        <v>-11540000000</v>
      </c>
      <c r="H38" s="59"/>
    </row>
    <row r="39" customFormat="false" ht="15" hidden="false" customHeight="false" outlineLevel="0" collapsed="false">
      <c r="C39" s="60" t="s">
        <v>440</v>
      </c>
      <c r="F39" s="61" t="n">
        <f aca="false">SUM(F10:F37)</f>
        <v>0</v>
      </c>
      <c r="H39" s="62" t="str">
        <f aca="false">IF(ROUND(F39,0)=0,"SEIMBANG","PERIKSA")</f>
        <v>SEIMBANG</v>
      </c>
    </row>
    <row r="41" customFormat="false" ht="15" hidden="false" customHeight="false" outlineLevel="0" collapsed="false">
      <c r="A41" s="24" t="s">
        <v>441</v>
      </c>
      <c r="B41" s="25" t="s">
        <v>442</v>
      </c>
      <c r="C41" s="25"/>
      <c r="D41" s="25"/>
      <c r="E41" s="25"/>
      <c r="F41" s="25"/>
      <c r="G41" s="25"/>
      <c r="H41" s="25"/>
    </row>
  </sheetData>
  <mergeCells count="7">
    <mergeCell ref="A1:H1"/>
    <mergeCell ref="A2:H2"/>
    <mergeCell ref="A4:H4"/>
    <mergeCell ref="A5:H5"/>
    <mergeCell ref="A6:G6"/>
    <mergeCell ref="A7:H7"/>
    <mergeCell ref="B41:H41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24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443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444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445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249</v>
      </c>
      <c r="B9" s="16" t="s">
        <v>446</v>
      </c>
      <c r="C9" s="16" t="s">
        <v>257</v>
      </c>
      <c r="D9" s="16" t="s">
        <v>39</v>
      </c>
      <c r="E9" s="16" t="s">
        <v>447</v>
      </c>
      <c r="F9" s="16" t="s">
        <v>448</v>
      </c>
      <c r="G9" s="16" t="s">
        <v>449</v>
      </c>
      <c r="H9" s="16" t="s">
        <v>450</v>
      </c>
    </row>
    <row r="10" customFormat="false" ht="24" hidden="false" customHeight="true" outlineLevel="0" collapsed="false">
      <c r="A10" s="27" t="s">
        <v>451</v>
      </c>
      <c r="B10" s="28" t="s">
        <v>452</v>
      </c>
      <c r="C10" s="49" t="s">
        <v>453</v>
      </c>
      <c r="D10" s="21" t="s">
        <v>454</v>
      </c>
      <c r="E10" s="46" t="s">
        <v>455</v>
      </c>
      <c r="F10" s="46" t="s">
        <v>456</v>
      </c>
      <c r="G10" s="41" t="n">
        <v>2340000000</v>
      </c>
      <c r="H10" s="40" t="s">
        <v>457</v>
      </c>
    </row>
    <row r="11" customFormat="false" ht="24" hidden="false" customHeight="true" outlineLevel="0" collapsed="false">
      <c r="A11" s="27" t="s">
        <v>458</v>
      </c>
      <c r="B11" s="28" t="s">
        <v>459</v>
      </c>
      <c r="C11" s="49" t="s">
        <v>460</v>
      </c>
      <c r="D11" s="21" t="s">
        <v>454</v>
      </c>
      <c r="E11" s="46" t="s">
        <v>461</v>
      </c>
      <c r="F11" s="46" t="s">
        <v>462</v>
      </c>
      <c r="G11" s="41" t="n">
        <v>620000000</v>
      </c>
      <c r="H11" s="40" t="s">
        <v>457</v>
      </c>
    </row>
    <row r="12" customFormat="false" ht="24" hidden="false" customHeight="true" outlineLevel="0" collapsed="false">
      <c r="A12" s="27" t="s">
        <v>463</v>
      </c>
      <c r="B12" s="28" t="s">
        <v>464</v>
      </c>
      <c r="C12" s="49" t="s">
        <v>465</v>
      </c>
      <c r="D12" s="22" t="s">
        <v>466</v>
      </c>
      <c r="E12" s="46" t="s">
        <v>467</v>
      </c>
      <c r="F12" s="46" t="s">
        <v>468</v>
      </c>
      <c r="G12" s="41" t="n">
        <v>1850000000</v>
      </c>
      <c r="H12" s="40" t="s">
        <v>457</v>
      </c>
    </row>
    <row r="13" customFormat="false" ht="24" hidden="false" customHeight="true" outlineLevel="0" collapsed="false">
      <c r="A13" s="27" t="s">
        <v>469</v>
      </c>
      <c r="B13" s="28" t="s">
        <v>470</v>
      </c>
      <c r="C13" s="49" t="s">
        <v>471</v>
      </c>
      <c r="D13" s="21" t="s">
        <v>454</v>
      </c>
      <c r="E13" s="46" t="s">
        <v>461</v>
      </c>
      <c r="F13" s="46" t="s">
        <v>472</v>
      </c>
      <c r="G13" s="41" t="n">
        <v>980000000</v>
      </c>
      <c r="H13" s="40" t="s">
        <v>457</v>
      </c>
    </row>
    <row r="14" customFormat="false" ht="24" hidden="false" customHeight="true" outlineLevel="0" collapsed="false">
      <c r="A14" s="27" t="s">
        <v>473</v>
      </c>
      <c r="B14" s="28" t="s">
        <v>474</v>
      </c>
      <c r="C14" s="49" t="s">
        <v>475</v>
      </c>
      <c r="D14" s="21" t="s">
        <v>454</v>
      </c>
      <c r="E14" s="46" t="s">
        <v>461</v>
      </c>
      <c r="F14" s="46" t="s">
        <v>476</v>
      </c>
      <c r="G14" s="41" t="n">
        <v>1120000000</v>
      </c>
      <c r="H14" s="40" t="s">
        <v>457</v>
      </c>
    </row>
    <row r="15" customFormat="false" ht="24" hidden="false" customHeight="true" outlineLevel="0" collapsed="false">
      <c r="A15" s="27" t="s">
        <v>477</v>
      </c>
      <c r="B15" s="28" t="s">
        <v>478</v>
      </c>
      <c r="C15" s="49" t="s">
        <v>479</v>
      </c>
      <c r="D15" s="22" t="s">
        <v>466</v>
      </c>
      <c r="E15" s="46" t="s">
        <v>480</v>
      </c>
      <c r="F15" s="46" t="s">
        <v>481</v>
      </c>
      <c r="G15" s="41" t="n">
        <v>470000000</v>
      </c>
      <c r="H15" s="40" t="s">
        <v>457</v>
      </c>
    </row>
    <row r="16" customFormat="false" ht="15" hidden="false" customHeight="false" outlineLevel="0" collapsed="false">
      <c r="B16" s="63" t="s">
        <v>482</v>
      </c>
      <c r="E16" s="64"/>
      <c r="F16" s="64"/>
      <c r="G16" s="58" t="n">
        <f aca="false">SUM(G10:G15)</f>
        <v>7380000000</v>
      </c>
    </row>
    <row r="18" customFormat="false" ht="15" hidden="false" customHeight="false" outlineLevel="0" collapsed="false">
      <c r="A18" s="24" t="s">
        <v>188</v>
      </c>
      <c r="B18" s="32" t="s">
        <v>21</v>
      </c>
      <c r="C18" s="33" t="s">
        <v>189</v>
      </c>
      <c r="D18" s="32" t="s">
        <v>190</v>
      </c>
      <c r="E18" s="24" t="s">
        <v>191</v>
      </c>
      <c r="F18" s="32" t="s">
        <v>19</v>
      </c>
      <c r="G18" s="33" t="s">
        <v>189</v>
      </c>
      <c r="H18" s="32" t="s">
        <v>190</v>
      </c>
    </row>
    <row r="19" customFormat="false" ht="15" hidden="false" customHeight="false" outlineLevel="0" collapsed="false">
      <c r="A19" s="24" t="s">
        <v>192</v>
      </c>
      <c r="B19" s="32" t="s">
        <v>17</v>
      </c>
      <c r="C19" s="33" t="s">
        <v>189</v>
      </c>
      <c r="D19" s="32" t="s">
        <v>190</v>
      </c>
    </row>
  </sheetData>
  <mergeCells count="7">
    <mergeCell ref="A1:H1"/>
    <mergeCell ref="A2:H2"/>
    <mergeCell ref="A4:H4"/>
    <mergeCell ref="A5:H5"/>
    <mergeCell ref="A6:G6"/>
    <mergeCell ref="A7:H7"/>
    <mergeCell ref="E16:F16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483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484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485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374</v>
      </c>
      <c r="B9" s="16" t="s">
        <v>375</v>
      </c>
      <c r="C9" s="16" t="s">
        <v>486</v>
      </c>
      <c r="D9" s="16" t="s">
        <v>487</v>
      </c>
      <c r="E9" s="16" t="s">
        <v>80</v>
      </c>
      <c r="F9" s="16" t="s">
        <v>488</v>
      </c>
      <c r="G9" s="16" t="s">
        <v>489</v>
      </c>
      <c r="H9" s="16" t="s">
        <v>35</v>
      </c>
    </row>
    <row r="10" customFormat="false" ht="15" hidden="false" customHeight="false" outlineLevel="0" collapsed="false">
      <c r="A10" s="27" t="s">
        <v>381</v>
      </c>
      <c r="B10" s="18" t="s">
        <v>382</v>
      </c>
      <c r="C10" s="65" t="n">
        <f aca="false">WTB!D10</f>
        <v>18420500000</v>
      </c>
      <c r="D10" s="65" t="n">
        <f aca="false">WTB!E10</f>
        <v>21905300000</v>
      </c>
      <c r="E10" s="65" t="n">
        <f aca="false">WTB!F10</f>
        <v>0</v>
      </c>
      <c r="F10" s="55" t="n">
        <f aca="false">WTB!G10</f>
        <v>21905300000</v>
      </c>
      <c r="G10" s="66" t="n">
        <f aca="false">IF('P1 - Materialitas'!C16=0,0,ABS(F10)/'P1 - Materialitas'!C16)</f>
        <v>13.5383997342419</v>
      </c>
      <c r="H10" s="49" t="s">
        <v>490</v>
      </c>
    </row>
    <row r="11" customFormat="false" ht="15" hidden="false" customHeight="false" outlineLevel="0" collapsed="false">
      <c r="B11" s="63" t="s">
        <v>491</v>
      </c>
      <c r="C11" s="58" t="n">
        <f aca="false">SUM(C10)</f>
        <v>18420500000</v>
      </c>
      <c r="D11" s="58" t="n">
        <f aca="false">SUM(D10)</f>
        <v>21905300000</v>
      </c>
      <c r="E11" s="58" t="n">
        <f aca="false">SUM(E10)</f>
        <v>0</v>
      </c>
      <c r="F11" s="58" t="n">
        <f aca="false">SUM(F10)</f>
        <v>21905300000</v>
      </c>
      <c r="G11" s="67" t="n">
        <f aca="false">IF('P1 - Materialitas'!C16=0,0,ABS(F11)/'P1 - Materialitas'!C16)</f>
        <v>13.5383997342419</v>
      </c>
    </row>
    <row r="13" customFormat="false" ht="15" hidden="false" customHeight="false" outlineLevel="0" collapsed="false">
      <c r="A13" s="30" t="s">
        <v>492</v>
      </c>
      <c r="B13" s="30"/>
      <c r="C13" s="30"/>
      <c r="D13" s="30"/>
      <c r="E13" s="30"/>
      <c r="F13" s="30"/>
      <c r="G13" s="30"/>
      <c r="H13" s="30"/>
    </row>
    <row r="14" customFormat="false" ht="15" hidden="false" customHeight="false" outlineLevel="0" collapsed="false">
      <c r="A14" s="68" t="s">
        <v>327</v>
      </c>
      <c r="B14" s="69" t="s">
        <v>493</v>
      </c>
      <c r="C14" s="68" t="s">
        <v>251</v>
      </c>
      <c r="D14" s="68" t="s">
        <v>494</v>
      </c>
      <c r="E14" s="70" t="s">
        <v>495</v>
      </c>
      <c r="F14" s="70"/>
      <c r="G14" s="70"/>
      <c r="H14" s="70"/>
    </row>
    <row r="15" customFormat="false" ht="27.75" hidden="false" customHeight="true" outlineLevel="0" collapsed="false">
      <c r="A15" s="27" t="n">
        <v>1</v>
      </c>
      <c r="B15" s="28" t="s">
        <v>496</v>
      </c>
      <c r="C15" s="40" t="s">
        <v>497</v>
      </c>
      <c r="D15" s="29" t="s">
        <v>178</v>
      </c>
      <c r="E15" s="71"/>
      <c r="F15" s="71"/>
      <c r="G15" s="71"/>
      <c r="H15" s="71"/>
    </row>
    <row r="16" customFormat="false" ht="27.75" hidden="false" customHeight="true" outlineLevel="0" collapsed="false">
      <c r="A16" s="27" t="n">
        <v>2</v>
      </c>
      <c r="B16" s="28" t="s">
        <v>498</v>
      </c>
      <c r="C16" s="40" t="s">
        <v>499</v>
      </c>
      <c r="D16" s="29" t="s">
        <v>178</v>
      </c>
      <c r="E16" s="71"/>
      <c r="F16" s="71"/>
      <c r="G16" s="71"/>
      <c r="H16" s="71"/>
    </row>
    <row r="17" customFormat="false" ht="27.75" hidden="false" customHeight="true" outlineLevel="0" collapsed="false">
      <c r="A17" s="27" t="n">
        <v>3</v>
      </c>
      <c r="B17" s="28" t="s">
        <v>500</v>
      </c>
      <c r="C17" s="40" t="s">
        <v>501</v>
      </c>
      <c r="D17" s="29" t="s">
        <v>178</v>
      </c>
      <c r="E17" s="71"/>
      <c r="F17" s="71"/>
      <c r="G17" s="71"/>
      <c r="H17" s="71"/>
    </row>
    <row r="18" customFormat="false" ht="27.75" hidden="false" customHeight="true" outlineLevel="0" collapsed="false">
      <c r="A18" s="27" t="n">
        <v>4</v>
      </c>
      <c r="B18" s="28" t="s">
        <v>502</v>
      </c>
      <c r="C18" s="40" t="s">
        <v>503</v>
      </c>
      <c r="D18" s="29" t="s">
        <v>178</v>
      </c>
      <c r="E18" s="71"/>
      <c r="F18" s="71"/>
      <c r="G18" s="71"/>
      <c r="H18" s="71"/>
    </row>
    <row r="19" customFormat="false" ht="27.75" hidden="false" customHeight="true" outlineLevel="0" collapsed="false">
      <c r="A19" s="27" t="n">
        <v>5</v>
      </c>
      <c r="B19" s="28" t="s">
        <v>504</v>
      </c>
      <c r="C19" s="40" t="s">
        <v>505</v>
      </c>
      <c r="D19" s="29" t="s">
        <v>178</v>
      </c>
      <c r="E19" s="71"/>
      <c r="F19" s="71"/>
      <c r="G19" s="71"/>
      <c r="H19" s="71"/>
    </row>
    <row r="21" customFormat="false" ht="15" hidden="false" customHeight="false" outlineLevel="0" collapsed="false">
      <c r="A21" s="30" t="s">
        <v>506</v>
      </c>
      <c r="B21" s="30"/>
      <c r="C21" s="30"/>
      <c r="D21" s="30"/>
      <c r="E21" s="30"/>
      <c r="F21" s="30"/>
      <c r="G21" s="30"/>
      <c r="H21" s="30"/>
    </row>
    <row r="22" customFormat="false" ht="39.75" hidden="false" customHeight="true" outlineLevel="0" collapsed="false">
      <c r="A22" s="34" t="s">
        <v>507</v>
      </c>
      <c r="B22" s="34"/>
      <c r="C22" s="34"/>
      <c r="D22" s="34"/>
      <c r="E22" s="34"/>
      <c r="F22" s="34"/>
      <c r="G22" s="34"/>
      <c r="H22" s="34"/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34"/>
      <c r="G23" s="34"/>
      <c r="H23" s="34"/>
    </row>
    <row r="25" customFormat="false" ht="15" hidden="false" customHeight="false" outlineLevel="0" collapsed="false">
      <c r="A25" s="24" t="s">
        <v>188</v>
      </c>
      <c r="B25" s="32" t="s">
        <v>21</v>
      </c>
      <c r="C25" s="33" t="s">
        <v>189</v>
      </c>
      <c r="D25" s="32" t="s">
        <v>190</v>
      </c>
      <c r="E25" s="24" t="s">
        <v>191</v>
      </c>
      <c r="F25" s="32" t="s">
        <v>19</v>
      </c>
      <c r="G25" s="33" t="s">
        <v>189</v>
      </c>
      <c r="H25" s="32" t="s">
        <v>190</v>
      </c>
    </row>
    <row r="26" customFormat="false" ht="15" hidden="false" customHeight="false" outlineLevel="0" collapsed="false">
      <c r="A26" s="24" t="s">
        <v>192</v>
      </c>
      <c r="B26" s="32" t="s">
        <v>17</v>
      </c>
      <c r="C26" s="33" t="s">
        <v>189</v>
      </c>
      <c r="D26" s="32" t="s">
        <v>190</v>
      </c>
    </row>
  </sheetData>
  <mergeCells count="15">
    <mergeCell ref="A1:H1"/>
    <mergeCell ref="A2:H2"/>
    <mergeCell ref="A4:H4"/>
    <mergeCell ref="A5:H5"/>
    <mergeCell ref="A6:G6"/>
    <mergeCell ref="A7:H7"/>
    <mergeCell ref="A13:H13"/>
    <mergeCell ref="E14:H14"/>
    <mergeCell ref="E15:H15"/>
    <mergeCell ref="E16:H16"/>
    <mergeCell ref="E17:H17"/>
    <mergeCell ref="E18:H18"/>
    <mergeCell ref="E19:H19"/>
    <mergeCell ref="A21:H21"/>
    <mergeCell ref="A22:H23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508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509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485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374</v>
      </c>
      <c r="B9" s="16" t="s">
        <v>375</v>
      </c>
      <c r="C9" s="16" t="s">
        <v>486</v>
      </c>
      <c r="D9" s="16" t="s">
        <v>487</v>
      </c>
      <c r="E9" s="16" t="s">
        <v>80</v>
      </c>
      <c r="F9" s="16" t="s">
        <v>488</v>
      </c>
      <c r="G9" s="16" t="s">
        <v>489</v>
      </c>
      <c r="H9" s="16" t="s">
        <v>35</v>
      </c>
    </row>
    <row r="10" customFormat="false" ht="15" hidden="false" customHeight="false" outlineLevel="0" collapsed="false">
      <c r="A10" s="27" t="s">
        <v>383</v>
      </c>
      <c r="B10" s="18" t="s">
        <v>384</v>
      </c>
      <c r="C10" s="65" t="n">
        <f aca="false">WTB!D11</f>
        <v>42180900000</v>
      </c>
      <c r="D10" s="65" t="n">
        <f aca="false">WTB!E11</f>
        <v>51322400000</v>
      </c>
      <c r="E10" s="65" t="n">
        <f aca="false">WTB!F11</f>
        <v>-1850000000</v>
      </c>
      <c r="F10" s="55" t="n">
        <f aca="false">WTB!G11</f>
        <v>49472400000</v>
      </c>
      <c r="G10" s="66" t="n">
        <f aca="false">IF('P1 - Materialitas'!C16=0,0,ABS(F10)/'P1 - Materialitas'!C16)</f>
        <v>30.5760307785014</v>
      </c>
      <c r="H10" s="49" t="s">
        <v>510</v>
      </c>
    </row>
    <row r="11" customFormat="false" ht="15" hidden="false" customHeight="false" outlineLevel="0" collapsed="false">
      <c r="A11" s="27" t="s">
        <v>385</v>
      </c>
      <c r="B11" s="18" t="s">
        <v>386</v>
      </c>
      <c r="C11" s="65" t="n">
        <f aca="false">WTB!D12</f>
        <v>-2109000000</v>
      </c>
      <c r="D11" s="65" t="n">
        <f aca="false">WTB!E12</f>
        <v>-1980000000</v>
      </c>
      <c r="E11" s="65" t="n">
        <f aca="false">WTB!F12</f>
        <v>-620000000</v>
      </c>
      <c r="F11" s="55" t="n">
        <f aca="false">WTB!G12</f>
        <v>-2600000000</v>
      </c>
      <c r="G11" s="66" t="n">
        <f aca="false">IF('P1 - Materialitas'!C16=0,0,ABS(F11)/'P1 - Materialitas'!C16)</f>
        <v>1.60690971176057</v>
      </c>
      <c r="H11" s="49" t="s">
        <v>465</v>
      </c>
    </row>
    <row r="12" customFormat="false" ht="15" hidden="false" customHeight="false" outlineLevel="0" collapsed="false">
      <c r="B12" s="63" t="s">
        <v>491</v>
      </c>
      <c r="C12" s="58" t="n">
        <f aca="false">SUM(C10:C11)</f>
        <v>40071900000</v>
      </c>
      <c r="D12" s="58" t="n">
        <f aca="false">SUM(D10:D11)</f>
        <v>49342400000</v>
      </c>
      <c r="E12" s="58" t="n">
        <f aca="false">SUM(E10:E11)</f>
        <v>-2470000000</v>
      </c>
      <c r="F12" s="58" t="n">
        <f aca="false">SUM(F10:F11)</f>
        <v>46872400000</v>
      </c>
      <c r="G12" s="67" t="n">
        <f aca="false">IF('P1 - Materialitas'!C16=0,0,ABS(F12)/'P1 - Materialitas'!C16)</f>
        <v>28.9691210667408</v>
      </c>
    </row>
    <row r="14" customFormat="false" ht="15" hidden="false" customHeight="false" outlineLevel="0" collapsed="false">
      <c r="A14" s="30" t="s">
        <v>492</v>
      </c>
      <c r="B14" s="30"/>
      <c r="C14" s="30"/>
      <c r="D14" s="30"/>
      <c r="E14" s="30"/>
      <c r="F14" s="30"/>
      <c r="G14" s="30"/>
      <c r="H14" s="30"/>
    </row>
    <row r="15" customFormat="false" ht="15" hidden="false" customHeight="false" outlineLevel="0" collapsed="false">
      <c r="A15" s="68" t="s">
        <v>327</v>
      </c>
      <c r="B15" s="69" t="s">
        <v>493</v>
      </c>
      <c r="C15" s="68" t="s">
        <v>251</v>
      </c>
      <c r="D15" s="68" t="s">
        <v>494</v>
      </c>
      <c r="E15" s="70" t="s">
        <v>495</v>
      </c>
      <c r="F15" s="70"/>
      <c r="G15" s="70"/>
      <c r="H15" s="70"/>
    </row>
    <row r="16" customFormat="false" ht="27.75" hidden="false" customHeight="true" outlineLevel="0" collapsed="false">
      <c r="A16" s="27" t="n">
        <v>1</v>
      </c>
      <c r="B16" s="28" t="s">
        <v>511</v>
      </c>
      <c r="C16" s="40" t="s">
        <v>497</v>
      </c>
      <c r="D16" s="29" t="s">
        <v>178</v>
      </c>
      <c r="E16" s="71"/>
      <c r="F16" s="71"/>
      <c r="G16" s="71"/>
      <c r="H16" s="71"/>
    </row>
    <row r="17" customFormat="false" ht="27.75" hidden="false" customHeight="true" outlineLevel="0" collapsed="false">
      <c r="A17" s="27" t="n">
        <v>2</v>
      </c>
      <c r="B17" s="28" t="s">
        <v>512</v>
      </c>
      <c r="C17" s="40" t="s">
        <v>499</v>
      </c>
      <c r="D17" s="29" t="s">
        <v>178</v>
      </c>
      <c r="E17" s="71"/>
      <c r="F17" s="71"/>
      <c r="G17" s="71"/>
      <c r="H17" s="71"/>
    </row>
    <row r="18" customFormat="false" ht="27.75" hidden="false" customHeight="true" outlineLevel="0" collapsed="false">
      <c r="A18" s="27" t="n">
        <v>3</v>
      </c>
      <c r="B18" s="28" t="s">
        <v>513</v>
      </c>
      <c r="C18" s="40" t="s">
        <v>501</v>
      </c>
      <c r="D18" s="29" t="s">
        <v>178</v>
      </c>
      <c r="E18" s="71"/>
      <c r="F18" s="71"/>
      <c r="G18" s="71"/>
      <c r="H18" s="71"/>
    </row>
    <row r="19" customFormat="false" ht="27.75" hidden="false" customHeight="true" outlineLevel="0" collapsed="false">
      <c r="A19" s="27" t="n">
        <v>4</v>
      </c>
      <c r="B19" s="28" t="s">
        <v>514</v>
      </c>
      <c r="C19" s="40" t="s">
        <v>503</v>
      </c>
      <c r="D19" s="29" t="s">
        <v>178</v>
      </c>
      <c r="E19" s="71"/>
      <c r="F19" s="71"/>
      <c r="G19" s="71"/>
      <c r="H19" s="71"/>
    </row>
    <row r="20" customFormat="false" ht="27.75" hidden="false" customHeight="true" outlineLevel="0" collapsed="false">
      <c r="A20" s="27" t="n">
        <v>5</v>
      </c>
      <c r="B20" s="28" t="s">
        <v>515</v>
      </c>
      <c r="C20" s="40" t="s">
        <v>505</v>
      </c>
      <c r="D20" s="29" t="s">
        <v>178</v>
      </c>
      <c r="E20" s="71"/>
      <c r="F20" s="71"/>
      <c r="G20" s="71"/>
      <c r="H20" s="71"/>
    </row>
    <row r="22" customFormat="false" ht="15" hidden="false" customHeight="false" outlineLevel="0" collapsed="false">
      <c r="A22" s="30" t="s">
        <v>506</v>
      </c>
      <c r="B22" s="30"/>
      <c r="C22" s="30"/>
      <c r="D22" s="30"/>
      <c r="E22" s="30"/>
      <c r="F22" s="30"/>
      <c r="G22" s="30"/>
      <c r="H22" s="30"/>
    </row>
    <row r="23" customFormat="false" ht="39.75" hidden="false" customHeight="true" outlineLevel="0" collapsed="false">
      <c r="A23" s="34" t="s">
        <v>507</v>
      </c>
      <c r="B23" s="34"/>
      <c r="C23" s="34"/>
      <c r="D23" s="34"/>
      <c r="E23" s="34"/>
      <c r="F23" s="34"/>
      <c r="G23" s="34"/>
      <c r="H23" s="34"/>
    </row>
    <row r="24" customFormat="false" ht="15" hidden="false" customHeight="false" outlineLevel="0" collapsed="false">
      <c r="A24" s="34"/>
      <c r="B24" s="34"/>
      <c r="C24" s="34"/>
      <c r="D24" s="34"/>
      <c r="E24" s="34"/>
      <c r="F24" s="34"/>
      <c r="G24" s="34"/>
      <c r="H24" s="34"/>
    </row>
    <row r="26" customFormat="false" ht="15" hidden="false" customHeight="false" outlineLevel="0" collapsed="false">
      <c r="A26" s="24" t="s">
        <v>188</v>
      </c>
      <c r="B26" s="32" t="s">
        <v>21</v>
      </c>
      <c r="C26" s="33" t="s">
        <v>189</v>
      </c>
      <c r="D26" s="32" t="s">
        <v>190</v>
      </c>
      <c r="E26" s="24" t="s">
        <v>191</v>
      </c>
      <c r="F26" s="32" t="s">
        <v>19</v>
      </c>
      <c r="G26" s="33" t="s">
        <v>189</v>
      </c>
      <c r="H26" s="32" t="s">
        <v>190</v>
      </c>
    </row>
    <row r="27" customFormat="false" ht="15" hidden="false" customHeight="false" outlineLevel="0" collapsed="false">
      <c r="A27" s="24" t="s">
        <v>192</v>
      </c>
      <c r="B27" s="32" t="s">
        <v>17</v>
      </c>
      <c r="C27" s="33" t="s">
        <v>189</v>
      </c>
      <c r="D27" s="32" t="s">
        <v>190</v>
      </c>
    </row>
  </sheetData>
  <mergeCells count="15">
    <mergeCell ref="A1:H1"/>
    <mergeCell ref="A2:H2"/>
    <mergeCell ref="A4:H4"/>
    <mergeCell ref="A5:H5"/>
    <mergeCell ref="A6:G6"/>
    <mergeCell ref="A7:H7"/>
    <mergeCell ref="A14:H14"/>
    <mergeCell ref="E15:H15"/>
    <mergeCell ref="E16:H16"/>
    <mergeCell ref="E17:H17"/>
    <mergeCell ref="E18:H18"/>
    <mergeCell ref="E19:H19"/>
    <mergeCell ref="E20:H20"/>
    <mergeCell ref="A22:H22"/>
    <mergeCell ref="A23:H24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516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517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485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374</v>
      </c>
      <c r="B9" s="16" t="s">
        <v>375</v>
      </c>
      <c r="C9" s="16" t="s">
        <v>486</v>
      </c>
      <c r="D9" s="16" t="s">
        <v>487</v>
      </c>
      <c r="E9" s="16" t="s">
        <v>80</v>
      </c>
      <c r="F9" s="16" t="s">
        <v>488</v>
      </c>
      <c r="G9" s="16" t="s">
        <v>489</v>
      </c>
      <c r="H9" s="16" t="s">
        <v>35</v>
      </c>
    </row>
    <row r="10" customFormat="false" ht="15" hidden="false" customHeight="false" outlineLevel="0" collapsed="false">
      <c r="A10" s="27" t="s">
        <v>387</v>
      </c>
      <c r="B10" s="18" t="s">
        <v>90</v>
      </c>
      <c r="C10" s="65" t="n">
        <f aca="false">WTB!D13</f>
        <v>64550200000</v>
      </c>
      <c r="D10" s="65" t="n">
        <f aca="false">WTB!E13</f>
        <v>78904100000</v>
      </c>
      <c r="E10" s="65" t="n">
        <f aca="false">WTB!F13</f>
        <v>-2340000000</v>
      </c>
      <c r="F10" s="55" t="n">
        <f aca="false">WTB!G13</f>
        <v>76564100000</v>
      </c>
      <c r="G10" s="66" t="n">
        <f aca="false">IF('P1 - Materialitas'!C16=0,0,ABS(F10)/'P1 - Materialitas'!C16)</f>
        <v>47.3198445623875</v>
      </c>
      <c r="H10" s="49" t="s">
        <v>518</v>
      </c>
    </row>
    <row r="11" customFormat="false" ht="15" hidden="false" customHeight="false" outlineLevel="0" collapsed="false">
      <c r="B11" s="63" t="s">
        <v>491</v>
      </c>
      <c r="C11" s="58" t="n">
        <f aca="false">SUM(C10)</f>
        <v>64550200000</v>
      </c>
      <c r="D11" s="58" t="n">
        <f aca="false">SUM(D10)</f>
        <v>78904100000</v>
      </c>
      <c r="E11" s="58" t="n">
        <f aca="false">SUM(E10)</f>
        <v>-2340000000</v>
      </c>
      <c r="F11" s="58" t="n">
        <f aca="false">SUM(F10)</f>
        <v>76564100000</v>
      </c>
      <c r="G11" s="67" t="n">
        <f aca="false">IF('P1 - Materialitas'!C16=0,0,ABS(F11)/'P1 - Materialitas'!C16)</f>
        <v>47.3198445623875</v>
      </c>
    </row>
    <row r="13" customFormat="false" ht="15" hidden="false" customHeight="false" outlineLevel="0" collapsed="false">
      <c r="A13" s="30" t="s">
        <v>492</v>
      </c>
      <c r="B13" s="30"/>
      <c r="C13" s="30"/>
      <c r="D13" s="30"/>
      <c r="E13" s="30"/>
      <c r="F13" s="30"/>
      <c r="G13" s="30"/>
      <c r="H13" s="30"/>
    </row>
    <row r="14" customFormat="false" ht="15" hidden="false" customHeight="false" outlineLevel="0" collapsed="false">
      <c r="A14" s="68" t="s">
        <v>327</v>
      </c>
      <c r="B14" s="69" t="s">
        <v>493</v>
      </c>
      <c r="C14" s="68" t="s">
        <v>251</v>
      </c>
      <c r="D14" s="68" t="s">
        <v>494</v>
      </c>
      <c r="E14" s="70" t="s">
        <v>495</v>
      </c>
      <c r="F14" s="70"/>
      <c r="G14" s="70"/>
      <c r="H14" s="70"/>
    </row>
    <row r="15" customFormat="false" ht="27.75" hidden="false" customHeight="true" outlineLevel="0" collapsed="false">
      <c r="A15" s="27" t="n">
        <v>1</v>
      </c>
      <c r="B15" s="28" t="s">
        <v>519</v>
      </c>
      <c r="C15" s="40" t="s">
        <v>497</v>
      </c>
      <c r="D15" s="29" t="s">
        <v>178</v>
      </c>
      <c r="E15" s="71"/>
      <c r="F15" s="71"/>
      <c r="G15" s="71"/>
      <c r="H15" s="71"/>
    </row>
    <row r="16" customFormat="false" ht="27.75" hidden="false" customHeight="true" outlineLevel="0" collapsed="false">
      <c r="A16" s="27" t="n">
        <v>2</v>
      </c>
      <c r="B16" s="28" t="s">
        <v>520</v>
      </c>
      <c r="C16" s="40" t="s">
        <v>499</v>
      </c>
      <c r="D16" s="29" t="s">
        <v>178</v>
      </c>
      <c r="E16" s="71"/>
      <c r="F16" s="71"/>
      <c r="G16" s="71"/>
      <c r="H16" s="71"/>
    </row>
    <row r="17" customFormat="false" ht="27.75" hidden="false" customHeight="true" outlineLevel="0" collapsed="false">
      <c r="A17" s="27" t="n">
        <v>3</v>
      </c>
      <c r="B17" s="28" t="s">
        <v>521</v>
      </c>
      <c r="C17" s="40" t="s">
        <v>501</v>
      </c>
      <c r="D17" s="29" t="s">
        <v>178</v>
      </c>
      <c r="E17" s="71"/>
      <c r="F17" s="71"/>
      <c r="G17" s="71"/>
      <c r="H17" s="71"/>
    </row>
    <row r="18" customFormat="false" ht="27.75" hidden="false" customHeight="true" outlineLevel="0" collapsed="false">
      <c r="A18" s="27" t="n">
        <v>4</v>
      </c>
      <c r="B18" s="28" t="s">
        <v>522</v>
      </c>
      <c r="C18" s="40" t="s">
        <v>503</v>
      </c>
      <c r="D18" s="29" t="s">
        <v>178</v>
      </c>
      <c r="E18" s="71"/>
      <c r="F18" s="71"/>
      <c r="G18" s="71"/>
      <c r="H18" s="71"/>
    </row>
    <row r="19" customFormat="false" ht="27.75" hidden="false" customHeight="true" outlineLevel="0" collapsed="false">
      <c r="A19" s="27" t="n">
        <v>5</v>
      </c>
      <c r="B19" s="28" t="s">
        <v>523</v>
      </c>
      <c r="C19" s="40" t="s">
        <v>505</v>
      </c>
      <c r="D19" s="29" t="s">
        <v>178</v>
      </c>
      <c r="E19" s="71"/>
      <c r="F19" s="71"/>
      <c r="G19" s="71"/>
      <c r="H19" s="71"/>
    </row>
    <row r="21" customFormat="false" ht="15" hidden="false" customHeight="false" outlineLevel="0" collapsed="false">
      <c r="A21" s="30" t="s">
        <v>506</v>
      </c>
      <c r="B21" s="30"/>
      <c r="C21" s="30"/>
      <c r="D21" s="30"/>
      <c r="E21" s="30"/>
      <c r="F21" s="30"/>
      <c r="G21" s="30"/>
      <c r="H21" s="30"/>
    </row>
    <row r="22" customFormat="false" ht="39.75" hidden="false" customHeight="true" outlineLevel="0" collapsed="false">
      <c r="A22" s="34" t="s">
        <v>507</v>
      </c>
      <c r="B22" s="34"/>
      <c r="C22" s="34"/>
      <c r="D22" s="34"/>
      <c r="E22" s="34"/>
      <c r="F22" s="34"/>
      <c r="G22" s="34"/>
      <c r="H22" s="34"/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34"/>
      <c r="G23" s="34"/>
      <c r="H23" s="34"/>
    </row>
    <row r="25" customFormat="false" ht="15" hidden="false" customHeight="false" outlineLevel="0" collapsed="false">
      <c r="A25" s="24" t="s">
        <v>188</v>
      </c>
      <c r="B25" s="32" t="s">
        <v>21</v>
      </c>
      <c r="C25" s="33" t="s">
        <v>189</v>
      </c>
      <c r="D25" s="32" t="s">
        <v>190</v>
      </c>
      <c r="E25" s="24" t="s">
        <v>191</v>
      </c>
      <c r="F25" s="32" t="s">
        <v>19</v>
      </c>
      <c r="G25" s="33" t="s">
        <v>189</v>
      </c>
      <c r="H25" s="32" t="s">
        <v>190</v>
      </c>
    </row>
    <row r="26" customFormat="false" ht="15" hidden="false" customHeight="false" outlineLevel="0" collapsed="false">
      <c r="A26" s="24" t="s">
        <v>192</v>
      </c>
      <c r="B26" s="32" t="s">
        <v>17</v>
      </c>
      <c r="C26" s="33" t="s">
        <v>189</v>
      </c>
      <c r="D26" s="32" t="s">
        <v>190</v>
      </c>
    </row>
  </sheetData>
  <mergeCells count="15">
    <mergeCell ref="A1:H1"/>
    <mergeCell ref="A2:H2"/>
    <mergeCell ref="A4:H4"/>
    <mergeCell ref="A5:H5"/>
    <mergeCell ref="A6:G6"/>
    <mergeCell ref="A7:H7"/>
    <mergeCell ref="A13:H13"/>
    <mergeCell ref="E14:H14"/>
    <mergeCell ref="E15:H15"/>
    <mergeCell ref="E16:H16"/>
    <mergeCell ref="E17:H17"/>
    <mergeCell ref="E18:H18"/>
    <mergeCell ref="E19:H19"/>
    <mergeCell ref="A21:H21"/>
    <mergeCell ref="A22:H23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524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525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485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374</v>
      </c>
      <c r="B9" s="16" t="s">
        <v>375</v>
      </c>
      <c r="C9" s="16" t="s">
        <v>486</v>
      </c>
      <c r="D9" s="16" t="s">
        <v>487</v>
      </c>
      <c r="E9" s="16" t="s">
        <v>80</v>
      </c>
      <c r="F9" s="16" t="s">
        <v>488</v>
      </c>
      <c r="G9" s="16" t="s">
        <v>489</v>
      </c>
      <c r="H9" s="16" t="s">
        <v>35</v>
      </c>
    </row>
    <row r="10" customFormat="false" ht="15" hidden="false" customHeight="false" outlineLevel="0" collapsed="false">
      <c r="A10" s="27" t="s">
        <v>390</v>
      </c>
      <c r="B10" s="18" t="s">
        <v>391</v>
      </c>
      <c r="C10" s="65" t="n">
        <f aca="false">WTB!D15</f>
        <v>1780400000</v>
      </c>
      <c r="D10" s="65" t="n">
        <f aca="false">WTB!E15</f>
        <v>2104600000</v>
      </c>
      <c r="E10" s="65" t="n">
        <f aca="false">WTB!F15</f>
        <v>0</v>
      </c>
      <c r="F10" s="55" t="n">
        <f aca="false">WTB!G15</f>
        <v>2104600000</v>
      </c>
      <c r="G10" s="66" t="n">
        <f aca="false">IF('P1 - Materialitas'!C16=0,0,ABS(F10)/'P1 - Materialitas'!C16)</f>
        <v>1.3007316074505</v>
      </c>
      <c r="H10" s="49" t="s">
        <v>526</v>
      </c>
    </row>
    <row r="11" customFormat="false" ht="15" hidden="false" customHeight="false" outlineLevel="0" collapsed="false">
      <c r="A11" s="27" t="s">
        <v>393</v>
      </c>
      <c r="B11" s="18" t="s">
        <v>394</v>
      </c>
      <c r="C11" s="65" t="n">
        <f aca="false">WTB!D16</f>
        <v>183209000000</v>
      </c>
      <c r="D11" s="65" t="n">
        <f aca="false">WTB!E16</f>
        <v>200339700000</v>
      </c>
      <c r="E11" s="65" t="n">
        <f aca="false">WTB!F16</f>
        <v>0</v>
      </c>
      <c r="F11" s="55" t="n">
        <f aca="false">WTB!G16</f>
        <v>200339700000</v>
      </c>
      <c r="G11" s="66" t="n">
        <f aca="false">IF('P1 - Materialitas'!C16=0,0,ABS(F11)/'P1 - Materialitas'!C16)</f>
        <v>123.818388300461</v>
      </c>
      <c r="H11" s="49" t="s">
        <v>475</v>
      </c>
    </row>
    <row r="12" customFormat="false" ht="15" hidden="false" customHeight="false" outlineLevel="0" collapsed="false">
      <c r="A12" s="27" t="s">
        <v>395</v>
      </c>
      <c r="B12" s="18" t="s">
        <v>396</v>
      </c>
      <c r="C12" s="65" t="n">
        <f aca="false">WTB!D17</f>
        <v>-50860000000</v>
      </c>
      <c r="D12" s="65" t="n">
        <f aca="false">WTB!E17</f>
        <v>-57180000000</v>
      </c>
      <c r="E12" s="65" t="n">
        <f aca="false">WTB!F17</f>
        <v>-1120000000</v>
      </c>
      <c r="F12" s="55" t="n">
        <f aca="false">WTB!G17</f>
        <v>-58300000000</v>
      </c>
      <c r="G12" s="66" t="n">
        <f aca="false">IF('P1 - Materialitas'!C16=0,0,ABS(F12)/'P1 - Materialitas'!C16)</f>
        <v>36.0318600752466</v>
      </c>
      <c r="H12" s="49" t="s">
        <v>527</v>
      </c>
    </row>
    <row r="13" customFormat="false" ht="15" hidden="false" customHeight="false" outlineLevel="0" collapsed="false">
      <c r="A13" s="27" t="s">
        <v>397</v>
      </c>
      <c r="B13" s="18" t="s">
        <v>398</v>
      </c>
      <c r="C13" s="65" t="n">
        <f aca="false">WTB!D18</f>
        <v>8400000000</v>
      </c>
      <c r="D13" s="65" t="n">
        <f aca="false">WTB!E18</f>
        <v>9600000000</v>
      </c>
      <c r="E13" s="65" t="n">
        <f aca="false">WTB!F18</f>
        <v>0</v>
      </c>
      <c r="F13" s="55" t="n">
        <f aca="false">WTB!G18</f>
        <v>9600000000</v>
      </c>
      <c r="G13" s="66" t="n">
        <f aca="false">IF('P1 - Materialitas'!C16=0,0,ABS(F13)/'P1 - Materialitas'!C16)</f>
        <v>5.93320508957749</v>
      </c>
      <c r="H13" s="49" t="s">
        <v>528</v>
      </c>
    </row>
    <row r="14" customFormat="false" ht="15" hidden="false" customHeight="false" outlineLevel="0" collapsed="false">
      <c r="A14" s="27" t="s">
        <v>399</v>
      </c>
      <c r="B14" s="18" t="s">
        <v>400</v>
      </c>
      <c r="C14" s="65" t="n">
        <f aca="false">WTB!D19</f>
        <v>-3360000000</v>
      </c>
      <c r="D14" s="65" t="n">
        <f aca="false">WTB!E19</f>
        <v>-4700000000</v>
      </c>
      <c r="E14" s="65" t="n">
        <f aca="false">WTB!F19</f>
        <v>0</v>
      </c>
      <c r="F14" s="55" t="n">
        <f aca="false">WTB!G19</f>
        <v>-4700000000</v>
      </c>
      <c r="G14" s="66" t="n">
        <f aca="false">IF('P1 - Materialitas'!C16=0,0,ABS(F14)/'P1 - Materialitas'!C16)</f>
        <v>2.90479832510565</v>
      </c>
      <c r="H14" s="49" t="s">
        <v>529</v>
      </c>
    </row>
    <row r="15" customFormat="false" ht="15" hidden="false" customHeight="false" outlineLevel="0" collapsed="false">
      <c r="B15" s="63" t="s">
        <v>491</v>
      </c>
      <c r="C15" s="58" t="n">
        <f aca="false">SUM(C10:C14)</f>
        <v>139169400000</v>
      </c>
      <c r="D15" s="58" t="n">
        <f aca="false">SUM(D10:D14)</f>
        <v>150164300000</v>
      </c>
      <c r="E15" s="58" t="n">
        <f aca="false">SUM(E10:E14)</f>
        <v>-1120000000</v>
      </c>
      <c r="F15" s="58" t="n">
        <f aca="false">SUM(F10:F14)</f>
        <v>149044300000</v>
      </c>
      <c r="G15" s="67" t="n">
        <f aca="false">IF('P1 - Materialitas'!C16=0,0,ABS(F15)/'P1 - Materialitas'!C16)</f>
        <v>92.1156665971369</v>
      </c>
    </row>
    <row r="17" customFormat="false" ht="15" hidden="false" customHeight="false" outlineLevel="0" collapsed="false">
      <c r="A17" s="30" t="s">
        <v>492</v>
      </c>
      <c r="B17" s="30"/>
      <c r="C17" s="30"/>
      <c r="D17" s="30"/>
      <c r="E17" s="30"/>
      <c r="F17" s="30"/>
      <c r="G17" s="30"/>
      <c r="H17" s="30"/>
    </row>
    <row r="18" customFormat="false" ht="15" hidden="false" customHeight="false" outlineLevel="0" collapsed="false">
      <c r="A18" s="68" t="s">
        <v>327</v>
      </c>
      <c r="B18" s="69" t="s">
        <v>493</v>
      </c>
      <c r="C18" s="68" t="s">
        <v>251</v>
      </c>
      <c r="D18" s="68" t="s">
        <v>494</v>
      </c>
      <c r="E18" s="70" t="s">
        <v>495</v>
      </c>
      <c r="F18" s="70"/>
      <c r="G18" s="70"/>
      <c r="H18" s="70"/>
    </row>
    <row r="19" customFormat="false" ht="27.75" hidden="false" customHeight="true" outlineLevel="0" collapsed="false">
      <c r="A19" s="27" t="n">
        <v>1</v>
      </c>
      <c r="B19" s="28" t="s">
        <v>530</v>
      </c>
      <c r="C19" s="40" t="s">
        <v>497</v>
      </c>
      <c r="D19" s="29" t="s">
        <v>178</v>
      </c>
      <c r="E19" s="71"/>
      <c r="F19" s="71"/>
      <c r="G19" s="71"/>
      <c r="H19" s="71"/>
    </row>
    <row r="20" customFormat="false" ht="27.75" hidden="false" customHeight="true" outlineLevel="0" collapsed="false">
      <c r="A20" s="27" t="n">
        <v>2</v>
      </c>
      <c r="B20" s="28" t="s">
        <v>531</v>
      </c>
      <c r="C20" s="40" t="s">
        <v>499</v>
      </c>
      <c r="D20" s="29" t="s">
        <v>178</v>
      </c>
      <c r="E20" s="71"/>
      <c r="F20" s="71"/>
      <c r="G20" s="71"/>
      <c r="H20" s="71"/>
    </row>
    <row r="21" customFormat="false" ht="27.75" hidden="false" customHeight="true" outlineLevel="0" collapsed="false">
      <c r="A21" s="27" t="n">
        <v>3</v>
      </c>
      <c r="B21" s="28" t="s">
        <v>532</v>
      </c>
      <c r="C21" s="40" t="s">
        <v>501</v>
      </c>
      <c r="D21" s="29" t="s">
        <v>178</v>
      </c>
      <c r="E21" s="71"/>
      <c r="F21" s="71"/>
      <c r="G21" s="71"/>
      <c r="H21" s="71"/>
    </row>
    <row r="22" customFormat="false" ht="27.75" hidden="false" customHeight="true" outlineLevel="0" collapsed="false">
      <c r="A22" s="27" t="n">
        <v>4</v>
      </c>
      <c r="B22" s="28" t="s">
        <v>533</v>
      </c>
      <c r="C22" s="40" t="s">
        <v>503</v>
      </c>
      <c r="D22" s="29" t="s">
        <v>178</v>
      </c>
      <c r="E22" s="71"/>
      <c r="F22" s="71"/>
      <c r="G22" s="71"/>
      <c r="H22" s="71"/>
    </row>
    <row r="23" customFormat="false" ht="27.75" hidden="false" customHeight="true" outlineLevel="0" collapsed="false">
      <c r="A23" s="27" t="n">
        <v>5</v>
      </c>
      <c r="B23" s="28" t="s">
        <v>534</v>
      </c>
      <c r="C23" s="40" t="s">
        <v>505</v>
      </c>
      <c r="D23" s="29" t="s">
        <v>178</v>
      </c>
      <c r="E23" s="71"/>
      <c r="F23" s="71"/>
      <c r="G23" s="71"/>
      <c r="H23" s="71"/>
    </row>
    <row r="25" customFormat="false" ht="15" hidden="false" customHeight="false" outlineLevel="0" collapsed="false">
      <c r="A25" s="30" t="s">
        <v>506</v>
      </c>
      <c r="B25" s="30"/>
      <c r="C25" s="30"/>
      <c r="D25" s="30"/>
      <c r="E25" s="30"/>
      <c r="F25" s="30"/>
      <c r="G25" s="30"/>
      <c r="H25" s="30"/>
    </row>
    <row r="26" customFormat="false" ht="39.75" hidden="false" customHeight="true" outlineLevel="0" collapsed="false">
      <c r="A26" s="34" t="s">
        <v>507</v>
      </c>
      <c r="B26" s="34"/>
      <c r="C26" s="34"/>
      <c r="D26" s="34"/>
      <c r="E26" s="34"/>
      <c r="F26" s="34"/>
      <c r="G26" s="34"/>
      <c r="H26" s="34"/>
    </row>
    <row r="27" customFormat="false" ht="15" hidden="false" customHeight="false" outlineLevel="0" collapsed="false">
      <c r="A27" s="34"/>
      <c r="B27" s="34"/>
      <c r="C27" s="34"/>
      <c r="D27" s="34"/>
      <c r="E27" s="34"/>
      <c r="F27" s="34"/>
      <c r="G27" s="34"/>
      <c r="H27" s="34"/>
    </row>
    <row r="29" customFormat="false" ht="15" hidden="false" customHeight="false" outlineLevel="0" collapsed="false">
      <c r="A29" s="24" t="s">
        <v>188</v>
      </c>
      <c r="B29" s="32" t="s">
        <v>21</v>
      </c>
      <c r="C29" s="33" t="s">
        <v>189</v>
      </c>
      <c r="D29" s="32" t="s">
        <v>190</v>
      </c>
      <c r="E29" s="24" t="s">
        <v>191</v>
      </c>
      <c r="F29" s="32" t="s">
        <v>19</v>
      </c>
      <c r="G29" s="33" t="s">
        <v>189</v>
      </c>
      <c r="H29" s="32" t="s">
        <v>190</v>
      </c>
    </row>
    <row r="30" customFormat="false" ht="15" hidden="false" customHeight="false" outlineLevel="0" collapsed="false">
      <c r="A30" s="24" t="s">
        <v>192</v>
      </c>
      <c r="B30" s="32" t="s">
        <v>17</v>
      </c>
      <c r="C30" s="33" t="s">
        <v>189</v>
      </c>
      <c r="D30" s="32" t="s">
        <v>190</v>
      </c>
    </row>
  </sheetData>
  <mergeCells count="15">
    <mergeCell ref="A1:H1"/>
    <mergeCell ref="A2:H2"/>
    <mergeCell ref="A4:H4"/>
    <mergeCell ref="A5:H5"/>
    <mergeCell ref="A6:G6"/>
    <mergeCell ref="A7:H7"/>
    <mergeCell ref="A17:H17"/>
    <mergeCell ref="E18:H18"/>
    <mergeCell ref="E19:H19"/>
    <mergeCell ref="E20:H20"/>
    <mergeCell ref="E21:H21"/>
    <mergeCell ref="E22:H22"/>
    <mergeCell ref="E23:H23"/>
    <mergeCell ref="A25:H25"/>
    <mergeCell ref="A26:H27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535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536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485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374</v>
      </c>
      <c r="B9" s="16" t="s">
        <v>375</v>
      </c>
      <c r="C9" s="16" t="s">
        <v>486</v>
      </c>
      <c r="D9" s="16" t="s">
        <v>487</v>
      </c>
      <c r="E9" s="16" t="s">
        <v>80</v>
      </c>
      <c r="F9" s="16" t="s">
        <v>488</v>
      </c>
      <c r="G9" s="16" t="s">
        <v>489</v>
      </c>
      <c r="H9" s="16" t="s">
        <v>35</v>
      </c>
    </row>
    <row r="10" customFormat="false" ht="15" hidden="false" customHeight="false" outlineLevel="0" collapsed="false">
      <c r="A10" s="27" t="s">
        <v>401</v>
      </c>
      <c r="B10" s="18" t="s">
        <v>402</v>
      </c>
      <c r="C10" s="65" t="n">
        <f aca="false">WTB!D20</f>
        <v>0</v>
      </c>
      <c r="D10" s="65" t="n">
        <f aca="false">WTB!E20</f>
        <v>12640000000</v>
      </c>
      <c r="E10" s="65" t="n">
        <f aca="false">WTB!F20</f>
        <v>0</v>
      </c>
      <c r="F10" s="55" t="n">
        <f aca="false">WTB!G20</f>
        <v>12640000000</v>
      </c>
      <c r="G10" s="66" t="n">
        <f aca="false">IF('P1 - Materialitas'!C16=0,0,ABS(F10)/'P1 - Materialitas'!C16)</f>
        <v>7.8120533679437</v>
      </c>
      <c r="H10" s="49" t="s">
        <v>537</v>
      </c>
    </row>
    <row r="11" customFormat="false" ht="15" hidden="false" customHeight="false" outlineLevel="0" collapsed="false">
      <c r="A11" s="27" t="s">
        <v>413</v>
      </c>
      <c r="B11" s="18" t="s">
        <v>414</v>
      </c>
      <c r="C11" s="65" t="n">
        <f aca="false">WTB!D26</f>
        <v>0</v>
      </c>
      <c r="D11" s="65" t="n">
        <f aca="false">WTB!E26</f>
        <v>-3180000000</v>
      </c>
      <c r="E11" s="65" t="n">
        <f aca="false">WTB!F26</f>
        <v>0</v>
      </c>
      <c r="F11" s="55" t="n">
        <f aca="false">WTB!G26</f>
        <v>-3180000000</v>
      </c>
      <c r="G11" s="66" t="n">
        <f aca="false">IF('P1 - Materialitas'!C16=0,0,ABS(F11)/'P1 - Materialitas'!C16)</f>
        <v>1.96537418592254</v>
      </c>
      <c r="H11" s="49" t="s">
        <v>538</v>
      </c>
    </row>
    <row r="12" customFormat="false" ht="15" hidden="false" customHeight="false" outlineLevel="0" collapsed="false">
      <c r="A12" s="27" t="s">
        <v>418</v>
      </c>
      <c r="B12" s="18" t="s">
        <v>419</v>
      </c>
      <c r="C12" s="65" t="n">
        <f aca="false">WTB!D28</f>
        <v>0</v>
      </c>
      <c r="D12" s="65" t="n">
        <f aca="false">WTB!E28</f>
        <v>-9620000000</v>
      </c>
      <c r="E12" s="65" t="n">
        <f aca="false">WTB!F28</f>
        <v>0</v>
      </c>
      <c r="F12" s="55" t="n">
        <f aca="false">WTB!G28</f>
        <v>-9620000000</v>
      </c>
      <c r="G12" s="66" t="n">
        <f aca="false">IF('P1 - Materialitas'!C16=0,0,ABS(F12)/'P1 - Materialitas'!C16)</f>
        <v>5.94556593351411</v>
      </c>
      <c r="H12" s="49" t="s">
        <v>539</v>
      </c>
    </row>
    <row r="13" customFormat="false" ht="15" hidden="false" customHeight="false" outlineLevel="0" collapsed="false">
      <c r="B13" s="63" t="s">
        <v>491</v>
      </c>
      <c r="C13" s="58" t="n">
        <f aca="false">SUM(C10:C12)</f>
        <v>0</v>
      </c>
      <c r="D13" s="58" t="n">
        <f aca="false">SUM(D10:D12)</f>
        <v>-160000000</v>
      </c>
      <c r="E13" s="58" t="n">
        <f aca="false">SUM(E10:E12)</f>
        <v>0</v>
      </c>
      <c r="F13" s="58" t="n">
        <f aca="false">SUM(F10:F12)</f>
        <v>-160000000</v>
      </c>
      <c r="G13" s="67" t="n">
        <f aca="false">IF('P1 - Materialitas'!C16=0,0,ABS(F13)/'P1 - Materialitas'!C16)</f>
        <v>0.0988867514929582</v>
      </c>
    </row>
    <row r="15" customFormat="false" ht="15" hidden="false" customHeight="false" outlineLevel="0" collapsed="false">
      <c r="A15" s="30" t="s">
        <v>492</v>
      </c>
      <c r="B15" s="30"/>
      <c r="C15" s="30"/>
      <c r="D15" s="30"/>
      <c r="E15" s="30"/>
      <c r="F15" s="30"/>
      <c r="G15" s="30"/>
      <c r="H15" s="30"/>
    </row>
    <row r="16" customFormat="false" ht="15" hidden="false" customHeight="false" outlineLevel="0" collapsed="false">
      <c r="A16" s="68" t="s">
        <v>327</v>
      </c>
      <c r="B16" s="69" t="s">
        <v>493</v>
      </c>
      <c r="C16" s="68" t="s">
        <v>251</v>
      </c>
      <c r="D16" s="68" t="s">
        <v>494</v>
      </c>
      <c r="E16" s="70" t="s">
        <v>495</v>
      </c>
      <c r="F16" s="70"/>
      <c r="G16" s="70"/>
      <c r="H16" s="70"/>
    </row>
    <row r="17" customFormat="false" ht="27.75" hidden="false" customHeight="true" outlineLevel="0" collapsed="false">
      <c r="A17" s="27" t="n">
        <v>1</v>
      </c>
      <c r="B17" s="28" t="s">
        <v>540</v>
      </c>
      <c r="C17" s="40" t="s">
        <v>497</v>
      </c>
      <c r="D17" s="29" t="s">
        <v>178</v>
      </c>
      <c r="E17" s="71"/>
      <c r="F17" s="71"/>
      <c r="G17" s="71"/>
      <c r="H17" s="71"/>
    </row>
    <row r="18" customFormat="false" ht="27.75" hidden="false" customHeight="true" outlineLevel="0" collapsed="false">
      <c r="A18" s="27" t="n">
        <v>2</v>
      </c>
      <c r="B18" s="28" t="s">
        <v>541</v>
      </c>
      <c r="C18" s="40" t="s">
        <v>499</v>
      </c>
      <c r="D18" s="29" t="s">
        <v>178</v>
      </c>
      <c r="E18" s="71"/>
      <c r="F18" s="71"/>
      <c r="G18" s="71"/>
      <c r="H18" s="71"/>
    </row>
    <row r="19" customFormat="false" ht="27.75" hidden="false" customHeight="true" outlineLevel="0" collapsed="false">
      <c r="A19" s="27" t="n">
        <v>3</v>
      </c>
      <c r="B19" s="28" t="s">
        <v>542</v>
      </c>
      <c r="C19" s="40" t="s">
        <v>501</v>
      </c>
      <c r="D19" s="29" t="s">
        <v>178</v>
      </c>
      <c r="E19" s="71"/>
      <c r="F19" s="71"/>
      <c r="G19" s="71"/>
      <c r="H19" s="71"/>
    </row>
    <row r="20" customFormat="false" ht="27.75" hidden="false" customHeight="true" outlineLevel="0" collapsed="false">
      <c r="A20" s="27" t="n">
        <v>4</v>
      </c>
      <c r="B20" s="28" t="s">
        <v>543</v>
      </c>
      <c r="C20" s="40" t="s">
        <v>503</v>
      </c>
      <c r="D20" s="29" t="s">
        <v>178</v>
      </c>
      <c r="E20" s="71"/>
      <c r="F20" s="71"/>
      <c r="G20" s="71"/>
      <c r="H20" s="71"/>
    </row>
    <row r="21" customFormat="false" ht="27.75" hidden="false" customHeight="true" outlineLevel="0" collapsed="false">
      <c r="A21" s="27" t="n">
        <v>5</v>
      </c>
      <c r="B21" s="28" t="s">
        <v>544</v>
      </c>
      <c r="C21" s="40" t="s">
        <v>505</v>
      </c>
      <c r="D21" s="29" t="s">
        <v>178</v>
      </c>
      <c r="E21" s="71"/>
      <c r="F21" s="71"/>
      <c r="G21" s="71"/>
      <c r="H21" s="71"/>
    </row>
    <row r="23" customFormat="false" ht="15" hidden="false" customHeight="false" outlineLevel="0" collapsed="false">
      <c r="A23" s="30" t="s">
        <v>506</v>
      </c>
      <c r="B23" s="30"/>
      <c r="C23" s="30"/>
      <c r="D23" s="30"/>
      <c r="E23" s="30"/>
      <c r="F23" s="30"/>
      <c r="G23" s="30"/>
      <c r="H23" s="30"/>
    </row>
    <row r="24" customFormat="false" ht="39.75" hidden="false" customHeight="true" outlineLevel="0" collapsed="false">
      <c r="A24" s="34" t="s">
        <v>507</v>
      </c>
      <c r="B24" s="34"/>
      <c r="C24" s="34"/>
      <c r="D24" s="34"/>
      <c r="E24" s="34"/>
      <c r="F24" s="34"/>
      <c r="G24" s="34"/>
      <c r="H24" s="34"/>
    </row>
    <row r="25" customFormat="false" ht="15" hidden="false" customHeight="false" outlineLevel="0" collapsed="false">
      <c r="A25" s="34"/>
      <c r="B25" s="34"/>
      <c r="C25" s="34"/>
      <c r="D25" s="34"/>
      <c r="E25" s="34"/>
      <c r="F25" s="34"/>
      <c r="G25" s="34"/>
      <c r="H25" s="34"/>
    </row>
    <row r="27" customFormat="false" ht="15" hidden="false" customHeight="false" outlineLevel="0" collapsed="false">
      <c r="A27" s="24" t="s">
        <v>188</v>
      </c>
      <c r="B27" s="32" t="s">
        <v>21</v>
      </c>
      <c r="C27" s="33" t="s">
        <v>189</v>
      </c>
      <c r="D27" s="32" t="s">
        <v>190</v>
      </c>
      <c r="E27" s="24" t="s">
        <v>191</v>
      </c>
      <c r="F27" s="32" t="s">
        <v>19</v>
      </c>
      <c r="G27" s="33" t="s">
        <v>189</v>
      </c>
      <c r="H27" s="32" t="s">
        <v>190</v>
      </c>
    </row>
    <row r="28" customFormat="false" ht="15" hidden="false" customHeight="false" outlineLevel="0" collapsed="false">
      <c r="A28" s="24" t="s">
        <v>192</v>
      </c>
      <c r="B28" s="32" t="s">
        <v>17</v>
      </c>
      <c r="C28" s="33" t="s">
        <v>189</v>
      </c>
      <c r="D28" s="32" t="s">
        <v>190</v>
      </c>
    </row>
  </sheetData>
  <mergeCells count="15">
    <mergeCell ref="A1:H1"/>
    <mergeCell ref="A2:H2"/>
    <mergeCell ref="A4:H4"/>
    <mergeCell ref="A5:H5"/>
    <mergeCell ref="A6:G6"/>
    <mergeCell ref="A7:H7"/>
    <mergeCell ref="A15:H15"/>
    <mergeCell ref="E16:H16"/>
    <mergeCell ref="E17:H17"/>
    <mergeCell ref="E18:H18"/>
    <mergeCell ref="E19:H19"/>
    <mergeCell ref="E20:H20"/>
    <mergeCell ref="E21:H21"/>
    <mergeCell ref="A23:H23"/>
    <mergeCell ref="A24:H25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545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546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485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374</v>
      </c>
      <c r="B9" s="16" t="s">
        <v>375</v>
      </c>
      <c r="C9" s="16" t="s">
        <v>486</v>
      </c>
      <c r="D9" s="16" t="s">
        <v>487</v>
      </c>
      <c r="E9" s="16" t="s">
        <v>80</v>
      </c>
      <c r="F9" s="16" t="s">
        <v>488</v>
      </c>
      <c r="G9" s="16" t="s">
        <v>489</v>
      </c>
      <c r="H9" s="16" t="s">
        <v>35</v>
      </c>
    </row>
    <row r="10" customFormat="false" ht="15" hidden="false" customHeight="false" outlineLevel="0" collapsed="false">
      <c r="A10" s="27" t="s">
        <v>406</v>
      </c>
      <c r="B10" s="18" t="s">
        <v>407</v>
      </c>
      <c r="C10" s="65" t="n">
        <f aca="false">WTB!D22</f>
        <v>-38220700000</v>
      </c>
      <c r="D10" s="65" t="n">
        <f aca="false">WTB!E22</f>
        <v>-44900300000</v>
      </c>
      <c r="E10" s="65" t="n">
        <f aca="false">WTB!F22</f>
        <v>0</v>
      </c>
      <c r="F10" s="55" t="n">
        <f aca="false">WTB!G22</f>
        <v>-44900300000</v>
      </c>
      <c r="G10" s="66" t="n">
        <f aca="false">IF('P1 - Materialitas'!C16=0,0,ABS(F10)/'P1 - Materialitas'!C16)</f>
        <v>27.7502800503704</v>
      </c>
      <c r="H10" s="49" t="s">
        <v>471</v>
      </c>
    </row>
    <row r="11" customFormat="false" ht="15" hidden="false" customHeight="false" outlineLevel="0" collapsed="false">
      <c r="A11" s="27" t="s">
        <v>410</v>
      </c>
      <c r="B11" s="18" t="s">
        <v>284</v>
      </c>
      <c r="C11" s="65" t="n">
        <f aca="false">WTB!D24</f>
        <v>-6440200000</v>
      </c>
      <c r="D11" s="65" t="n">
        <f aca="false">WTB!E24</f>
        <v>-8120900000</v>
      </c>
      <c r="E11" s="65" t="n">
        <f aca="false">WTB!F24</f>
        <v>-980000000</v>
      </c>
      <c r="F11" s="55" t="n">
        <f aca="false">WTB!G24</f>
        <v>-9100900000</v>
      </c>
      <c r="G11" s="66" t="n">
        <f aca="false">IF('P1 - Materialitas'!C16=0,0,ABS(F11)/'P1 - Materialitas'!C16)</f>
        <v>5.62474022913914</v>
      </c>
      <c r="H11" s="49" t="s">
        <v>547</v>
      </c>
    </row>
    <row r="12" customFormat="false" ht="15" hidden="false" customHeight="false" outlineLevel="0" collapsed="false">
      <c r="B12" s="63" t="s">
        <v>491</v>
      </c>
      <c r="C12" s="58" t="n">
        <f aca="false">SUM(C10:C11)</f>
        <v>-44660900000</v>
      </c>
      <c r="D12" s="58" t="n">
        <f aca="false">SUM(D10:D11)</f>
        <v>-53021200000</v>
      </c>
      <c r="E12" s="58" t="n">
        <f aca="false">SUM(E10:E11)</f>
        <v>-980000000</v>
      </c>
      <c r="F12" s="58" t="n">
        <f aca="false">SUM(F10:F11)</f>
        <v>-54001200000</v>
      </c>
      <c r="G12" s="67" t="n">
        <f aca="false">IF('P1 - Materialitas'!C16=0,0,ABS(F12)/'P1 - Materialitas'!C16)</f>
        <v>33.3750202795096</v>
      </c>
    </row>
    <row r="14" customFormat="false" ht="15" hidden="false" customHeight="false" outlineLevel="0" collapsed="false">
      <c r="A14" s="30" t="s">
        <v>492</v>
      </c>
      <c r="B14" s="30"/>
      <c r="C14" s="30"/>
      <c r="D14" s="30"/>
      <c r="E14" s="30"/>
      <c r="F14" s="30"/>
      <c r="G14" s="30"/>
      <c r="H14" s="30"/>
    </row>
    <row r="15" customFormat="false" ht="15" hidden="false" customHeight="false" outlineLevel="0" collapsed="false">
      <c r="A15" s="68" t="s">
        <v>327</v>
      </c>
      <c r="B15" s="69" t="s">
        <v>493</v>
      </c>
      <c r="C15" s="68" t="s">
        <v>251</v>
      </c>
      <c r="D15" s="68" t="s">
        <v>494</v>
      </c>
      <c r="E15" s="70" t="s">
        <v>495</v>
      </c>
      <c r="F15" s="70"/>
      <c r="G15" s="70"/>
      <c r="H15" s="70"/>
    </row>
    <row r="16" customFormat="false" ht="27.75" hidden="false" customHeight="true" outlineLevel="0" collapsed="false">
      <c r="A16" s="27" t="n">
        <v>1</v>
      </c>
      <c r="B16" s="28" t="s">
        <v>548</v>
      </c>
      <c r="C16" s="40" t="s">
        <v>497</v>
      </c>
      <c r="D16" s="29" t="s">
        <v>178</v>
      </c>
      <c r="E16" s="71"/>
      <c r="F16" s="71"/>
      <c r="G16" s="71"/>
      <c r="H16" s="71"/>
    </row>
    <row r="17" customFormat="false" ht="27.75" hidden="false" customHeight="true" outlineLevel="0" collapsed="false">
      <c r="A17" s="27" t="n">
        <v>2</v>
      </c>
      <c r="B17" s="28" t="s">
        <v>549</v>
      </c>
      <c r="C17" s="40" t="s">
        <v>499</v>
      </c>
      <c r="D17" s="29" t="s">
        <v>178</v>
      </c>
      <c r="E17" s="71"/>
      <c r="F17" s="71"/>
      <c r="G17" s="71"/>
      <c r="H17" s="71"/>
    </row>
    <row r="18" customFormat="false" ht="27.75" hidden="false" customHeight="true" outlineLevel="0" collapsed="false">
      <c r="A18" s="27" t="n">
        <v>3</v>
      </c>
      <c r="B18" s="28" t="s">
        <v>550</v>
      </c>
      <c r="C18" s="40" t="s">
        <v>501</v>
      </c>
      <c r="D18" s="29" t="s">
        <v>178</v>
      </c>
      <c r="E18" s="71"/>
      <c r="F18" s="71"/>
      <c r="G18" s="71"/>
      <c r="H18" s="71"/>
    </row>
    <row r="19" customFormat="false" ht="27.75" hidden="false" customHeight="true" outlineLevel="0" collapsed="false">
      <c r="A19" s="27" t="n">
        <v>4</v>
      </c>
      <c r="B19" s="28" t="s">
        <v>551</v>
      </c>
      <c r="C19" s="40" t="s">
        <v>503</v>
      </c>
      <c r="D19" s="29" t="s">
        <v>178</v>
      </c>
      <c r="E19" s="71"/>
      <c r="F19" s="71"/>
      <c r="G19" s="71"/>
      <c r="H19" s="71"/>
    </row>
    <row r="20" customFormat="false" ht="27.75" hidden="false" customHeight="true" outlineLevel="0" collapsed="false">
      <c r="A20" s="27" t="n">
        <v>5</v>
      </c>
      <c r="B20" s="28" t="s">
        <v>552</v>
      </c>
      <c r="C20" s="40" t="s">
        <v>505</v>
      </c>
      <c r="D20" s="29" t="s">
        <v>178</v>
      </c>
      <c r="E20" s="71"/>
      <c r="F20" s="71"/>
      <c r="G20" s="71"/>
      <c r="H20" s="71"/>
    </row>
    <row r="22" customFormat="false" ht="15" hidden="false" customHeight="false" outlineLevel="0" collapsed="false">
      <c r="A22" s="30" t="s">
        <v>506</v>
      </c>
      <c r="B22" s="30"/>
      <c r="C22" s="30"/>
      <c r="D22" s="30"/>
      <c r="E22" s="30"/>
      <c r="F22" s="30"/>
      <c r="G22" s="30"/>
      <c r="H22" s="30"/>
    </row>
    <row r="23" customFormat="false" ht="39.75" hidden="false" customHeight="true" outlineLevel="0" collapsed="false">
      <c r="A23" s="34" t="s">
        <v>507</v>
      </c>
      <c r="B23" s="34"/>
      <c r="C23" s="34"/>
      <c r="D23" s="34"/>
      <c r="E23" s="34"/>
      <c r="F23" s="34"/>
      <c r="G23" s="34"/>
      <c r="H23" s="34"/>
    </row>
    <row r="24" customFormat="false" ht="15" hidden="false" customHeight="false" outlineLevel="0" collapsed="false">
      <c r="A24" s="34"/>
      <c r="B24" s="34"/>
      <c r="C24" s="34"/>
      <c r="D24" s="34"/>
      <c r="E24" s="34"/>
      <c r="F24" s="34"/>
      <c r="G24" s="34"/>
      <c r="H24" s="34"/>
    </row>
    <row r="26" customFormat="false" ht="15" hidden="false" customHeight="false" outlineLevel="0" collapsed="false">
      <c r="A26" s="24" t="s">
        <v>188</v>
      </c>
      <c r="B26" s="32" t="s">
        <v>21</v>
      </c>
      <c r="C26" s="33" t="s">
        <v>189</v>
      </c>
      <c r="D26" s="32" t="s">
        <v>190</v>
      </c>
      <c r="E26" s="24" t="s">
        <v>191</v>
      </c>
      <c r="F26" s="32" t="s">
        <v>19</v>
      </c>
      <c r="G26" s="33" t="s">
        <v>189</v>
      </c>
      <c r="H26" s="32" t="s">
        <v>190</v>
      </c>
    </row>
    <row r="27" customFormat="false" ht="15" hidden="false" customHeight="false" outlineLevel="0" collapsed="false">
      <c r="A27" s="24" t="s">
        <v>192</v>
      </c>
      <c r="B27" s="32" t="s">
        <v>17</v>
      </c>
      <c r="C27" s="33" t="s">
        <v>189</v>
      </c>
      <c r="D27" s="32" t="s">
        <v>190</v>
      </c>
    </row>
  </sheetData>
  <mergeCells count="15">
    <mergeCell ref="A1:H1"/>
    <mergeCell ref="A2:H2"/>
    <mergeCell ref="A4:H4"/>
    <mergeCell ref="A5:H5"/>
    <mergeCell ref="A6:G6"/>
    <mergeCell ref="A7:H7"/>
    <mergeCell ref="A14:H14"/>
    <mergeCell ref="E15:H15"/>
    <mergeCell ref="E16:H16"/>
    <mergeCell ref="E17:H17"/>
    <mergeCell ref="E18:H18"/>
    <mergeCell ref="E19:H19"/>
    <mergeCell ref="E20:H20"/>
    <mergeCell ref="A22:H22"/>
    <mergeCell ref="A23:H24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553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554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485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374</v>
      </c>
      <c r="B9" s="16" t="s">
        <v>375</v>
      </c>
      <c r="C9" s="16" t="s">
        <v>486</v>
      </c>
      <c r="D9" s="16" t="s">
        <v>487</v>
      </c>
      <c r="E9" s="16" t="s">
        <v>80</v>
      </c>
      <c r="F9" s="16" t="s">
        <v>488</v>
      </c>
      <c r="G9" s="16" t="s">
        <v>489</v>
      </c>
      <c r="H9" s="16" t="s">
        <v>35</v>
      </c>
    </row>
    <row r="10" customFormat="false" ht="15" hidden="false" customHeight="false" outlineLevel="0" collapsed="false">
      <c r="A10" s="27" t="s">
        <v>408</v>
      </c>
      <c r="B10" s="18" t="s">
        <v>409</v>
      </c>
      <c r="C10" s="65" t="n">
        <f aca="false">WTB!D23</f>
        <v>-25000000000</v>
      </c>
      <c r="D10" s="65" t="n">
        <f aca="false">WTB!E23</f>
        <v>-31500000000</v>
      </c>
      <c r="E10" s="65" t="n">
        <f aca="false">WTB!F23</f>
        <v>0</v>
      </c>
      <c r="F10" s="55" t="n">
        <f aca="false">WTB!G23</f>
        <v>-31500000000</v>
      </c>
      <c r="G10" s="66" t="n">
        <f aca="false">IF('P1 - Materialitas'!C16=0,0,ABS(F10)/'P1 - Materialitas'!C16)</f>
        <v>19.4683292001761</v>
      </c>
      <c r="H10" s="49" t="s">
        <v>555</v>
      </c>
    </row>
    <row r="11" customFormat="false" ht="15" hidden="false" customHeight="false" outlineLevel="0" collapsed="false">
      <c r="A11" s="27" t="s">
        <v>416</v>
      </c>
      <c r="B11" s="18" t="s">
        <v>417</v>
      </c>
      <c r="C11" s="65" t="n">
        <f aca="false">WTB!D27</f>
        <v>-42000000000</v>
      </c>
      <c r="D11" s="65" t="n">
        <f aca="false">WTB!E27</f>
        <v>-38500000000</v>
      </c>
      <c r="E11" s="65" t="n">
        <f aca="false">WTB!F27</f>
        <v>0</v>
      </c>
      <c r="F11" s="55" t="n">
        <f aca="false">WTB!G27</f>
        <v>-38500000000</v>
      </c>
      <c r="G11" s="66" t="n">
        <f aca="false">IF('P1 - Materialitas'!C16=0,0,ABS(F11)/'P1 - Materialitas'!C16)</f>
        <v>23.7946245779931</v>
      </c>
      <c r="H11" s="49" t="s">
        <v>556</v>
      </c>
    </row>
    <row r="12" customFormat="false" ht="15" hidden="false" customHeight="false" outlineLevel="0" collapsed="false">
      <c r="B12" s="63" t="s">
        <v>491</v>
      </c>
      <c r="C12" s="58" t="n">
        <f aca="false">SUM(C10:C11)</f>
        <v>-67000000000</v>
      </c>
      <c r="D12" s="58" t="n">
        <f aca="false">SUM(D10:D11)</f>
        <v>-70000000000</v>
      </c>
      <c r="E12" s="58" t="n">
        <f aca="false">SUM(E10:E11)</f>
        <v>0</v>
      </c>
      <c r="F12" s="58" t="n">
        <f aca="false">SUM(F10:F11)</f>
        <v>-70000000000</v>
      </c>
      <c r="G12" s="67" t="n">
        <f aca="false">IF('P1 - Materialitas'!C16=0,0,ABS(F12)/'P1 - Materialitas'!C16)</f>
        <v>43.2629537781692</v>
      </c>
    </row>
    <row r="14" customFormat="false" ht="15" hidden="false" customHeight="false" outlineLevel="0" collapsed="false">
      <c r="A14" s="30" t="s">
        <v>492</v>
      </c>
      <c r="B14" s="30"/>
      <c r="C14" s="30"/>
      <c r="D14" s="30"/>
      <c r="E14" s="30"/>
      <c r="F14" s="30"/>
      <c r="G14" s="30"/>
      <c r="H14" s="30"/>
    </row>
    <row r="15" customFormat="false" ht="15" hidden="false" customHeight="false" outlineLevel="0" collapsed="false">
      <c r="A15" s="68" t="s">
        <v>327</v>
      </c>
      <c r="B15" s="69" t="s">
        <v>493</v>
      </c>
      <c r="C15" s="68" t="s">
        <v>251</v>
      </c>
      <c r="D15" s="68" t="s">
        <v>494</v>
      </c>
      <c r="E15" s="70" t="s">
        <v>495</v>
      </c>
      <c r="F15" s="70"/>
      <c r="G15" s="70"/>
      <c r="H15" s="70"/>
    </row>
    <row r="16" customFormat="false" ht="27.75" hidden="false" customHeight="true" outlineLevel="0" collapsed="false">
      <c r="A16" s="27" t="n">
        <v>1</v>
      </c>
      <c r="B16" s="28" t="s">
        <v>557</v>
      </c>
      <c r="C16" s="40" t="s">
        <v>497</v>
      </c>
      <c r="D16" s="29" t="s">
        <v>178</v>
      </c>
      <c r="E16" s="71"/>
      <c r="F16" s="71"/>
      <c r="G16" s="71"/>
      <c r="H16" s="71"/>
    </row>
    <row r="17" customFormat="false" ht="27.75" hidden="false" customHeight="true" outlineLevel="0" collapsed="false">
      <c r="A17" s="27" t="n">
        <v>2</v>
      </c>
      <c r="B17" s="28" t="s">
        <v>558</v>
      </c>
      <c r="C17" s="40" t="s">
        <v>499</v>
      </c>
      <c r="D17" s="29" t="s">
        <v>178</v>
      </c>
      <c r="E17" s="71"/>
      <c r="F17" s="71"/>
      <c r="G17" s="71"/>
      <c r="H17" s="71"/>
    </row>
    <row r="18" customFormat="false" ht="27.75" hidden="false" customHeight="true" outlineLevel="0" collapsed="false">
      <c r="A18" s="27" t="n">
        <v>3</v>
      </c>
      <c r="B18" s="28" t="s">
        <v>559</v>
      </c>
      <c r="C18" s="40" t="s">
        <v>501</v>
      </c>
      <c r="D18" s="29" t="s">
        <v>178</v>
      </c>
      <c r="E18" s="71"/>
      <c r="F18" s="71"/>
      <c r="G18" s="71"/>
      <c r="H18" s="71"/>
    </row>
    <row r="19" customFormat="false" ht="27.75" hidden="false" customHeight="true" outlineLevel="0" collapsed="false">
      <c r="A19" s="27" t="n">
        <v>4</v>
      </c>
      <c r="B19" s="28" t="s">
        <v>560</v>
      </c>
      <c r="C19" s="40" t="s">
        <v>503</v>
      </c>
      <c r="D19" s="29" t="s">
        <v>178</v>
      </c>
      <c r="E19" s="71"/>
      <c r="F19" s="71"/>
      <c r="G19" s="71"/>
      <c r="H19" s="71"/>
    </row>
    <row r="20" customFormat="false" ht="27.75" hidden="false" customHeight="true" outlineLevel="0" collapsed="false">
      <c r="A20" s="27" t="n">
        <v>5</v>
      </c>
      <c r="B20" s="28" t="s">
        <v>561</v>
      </c>
      <c r="C20" s="40" t="s">
        <v>505</v>
      </c>
      <c r="D20" s="29" t="s">
        <v>178</v>
      </c>
      <c r="E20" s="71"/>
      <c r="F20" s="71"/>
      <c r="G20" s="71"/>
      <c r="H20" s="71"/>
    </row>
    <row r="22" customFormat="false" ht="15" hidden="false" customHeight="false" outlineLevel="0" collapsed="false">
      <c r="A22" s="30" t="s">
        <v>506</v>
      </c>
      <c r="B22" s="30"/>
      <c r="C22" s="30"/>
      <c r="D22" s="30"/>
      <c r="E22" s="30"/>
      <c r="F22" s="30"/>
      <c r="G22" s="30"/>
      <c r="H22" s="30"/>
    </row>
    <row r="23" customFormat="false" ht="39.75" hidden="false" customHeight="true" outlineLevel="0" collapsed="false">
      <c r="A23" s="34" t="s">
        <v>507</v>
      </c>
      <c r="B23" s="34"/>
      <c r="C23" s="34"/>
      <c r="D23" s="34"/>
      <c r="E23" s="34"/>
      <c r="F23" s="34"/>
      <c r="G23" s="34"/>
      <c r="H23" s="34"/>
    </row>
    <row r="24" customFormat="false" ht="15" hidden="false" customHeight="false" outlineLevel="0" collapsed="false">
      <c r="A24" s="34"/>
      <c r="B24" s="34"/>
      <c r="C24" s="34"/>
      <c r="D24" s="34"/>
      <c r="E24" s="34"/>
      <c r="F24" s="34"/>
      <c r="G24" s="34"/>
      <c r="H24" s="34"/>
    </row>
    <row r="26" customFormat="false" ht="15" hidden="false" customHeight="false" outlineLevel="0" collapsed="false">
      <c r="A26" s="24" t="s">
        <v>188</v>
      </c>
      <c r="B26" s="32" t="s">
        <v>21</v>
      </c>
      <c r="C26" s="33" t="s">
        <v>189</v>
      </c>
      <c r="D26" s="32" t="s">
        <v>190</v>
      </c>
      <c r="E26" s="24" t="s">
        <v>191</v>
      </c>
      <c r="F26" s="32" t="s">
        <v>19</v>
      </c>
      <c r="G26" s="33" t="s">
        <v>189</v>
      </c>
      <c r="H26" s="32" t="s">
        <v>190</v>
      </c>
    </row>
    <row r="27" customFormat="false" ht="15" hidden="false" customHeight="false" outlineLevel="0" collapsed="false">
      <c r="A27" s="24" t="s">
        <v>192</v>
      </c>
      <c r="B27" s="32" t="s">
        <v>17</v>
      </c>
      <c r="C27" s="33" t="s">
        <v>189</v>
      </c>
      <c r="D27" s="32" t="s">
        <v>190</v>
      </c>
    </row>
  </sheetData>
  <mergeCells count="15">
    <mergeCell ref="A1:H1"/>
    <mergeCell ref="A2:H2"/>
    <mergeCell ref="A4:H4"/>
    <mergeCell ref="A5:H5"/>
    <mergeCell ref="A6:G6"/>
    <mergeCell ref="A7:H7"/>
    <mergeCell ref="A14:H14"/>
    <mergeCell ref="E15:H15"/>
    <mergeCell ref="E16:H16"/>
    <mergeCell ref="E17:H17"/>
    <mergeCell ref="E18:H18"/>
    <mergeCell ref="E19:H19"/>
    <mergeCell ref="E20:H20"/>
    <mergeCell ref="A22:H22"/>
    <mergeCell ref="A23:H24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562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563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485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374</v>
      </c>
      <c r="B9" s="16" t="s">
        <v>375</v>
      </c>
      <c r="C9" s="16" t="s">
        <v>486</v>
      </c>
      <c r="D9" s="16" t="s">
        <v>487</v>
      </c>
      <c r="E9" s="16" t="s">
        <v>80</v>
      </c>
      <c r="F9" s="16" t="s">
        <v>488</v>
      </c>
      <c r="G9" s="16" t="s">
        <v>489</v>
      </c>
      <c r="H9" s="16" t="s">
        <v>35</v>
      </c>
    </row>
    <row r="10" customFormat="false" ht="15" hidden="false" customHeight="false" outlineLevel="0" collapsed="false">
      <c r="A10" s="27" t="s">
        <v>388</v>
      </c>
      <c r="B10" s="18" t="s">
        <v>389</v>
      </c>
      <c r="C10" s="65" t="n">
        <f aca="false">WTB!D14</f>
        <v>3902100000</v>
      </c>
      <c r="D10" s="65" t="n">
        <f aca="false">WTB!E14</f>
        <v>4551800000</v>
      </c>
      <c r="E10" s="65" t="n">
        <f aca="false">WTB!F14</f>
        <v>0</v>
      </c>
      <c r="F10" s="55" t="n">
        <f aca="false">WTB!G14</f>
        <v>4551800000</v>
      </c>
      <c r="G10" s="66" t="n">
        <f aca="false">IF('P1 - Materialitas'!C16=0,0,ABS(F10)/'P1 - Materialitas'!C16)</f>
        <v>2.81320447153529</v>
      </c>
      <c r="H10" s="49" t="s">
        <v>479</v>
      </c>
    </row>
    <row r="11" customFormat="false" ht="15" hidden="false" customHeight="false" outlineLevel="0" collapsed="false">
      <c r="A11" s="27" t="s">
        <v>403</v>
      </c>
      <c r="B11" s="18" t="s">
        <v>404</v>
      </c>
      <c r="C11" s="65" t="n">
        <f aca="false">WTB!D21</f>
        <v>4110000000</v>
      </c>
      <c r="D11" s="65" t="n">
        <f aca="false">WTB!E21</f>
        <v>4980000000</v>
      </c>
      <c r="E11" s="65" t="n">
        <f aca="false">WTB!F21</f>
        <v>470000000</v>
      </c>
      <c r="F11" s="55" t="n">
        <f aca="false">WTB!G21</f>
        <v>5450000000</v>
      </c>
      <c r="G11" s="66" t="n">
        <f aca="false">IF('P1 - Materialitas'!C16=0,0,ABS(F11)/'P1 - Materialitas'!C16)</f>
        <v>3.36832997272889</v>
      </c>
      <c r="H11" s="49" t="s">
        <v>564</v>
      </c>
    </row>
    <row r="12" customFormat="false" ht="15" hidden="false" customHeight="false" outlineLevel="0" collapsed="false">
      <c r="A12" s="27" t="s">
        <v>411</v>
      </c>
      <c r="B12" s="18" t="s">
        <v>412</v>
      </c>
      <c r="C12" s="65" t="n">
        <f aca="false">WTB!D25</f>
        <v>-4980300000</v>
      </c>
      <c r="D12" s="65" t="n">
        <f aca="false">WTB!E25</f>
        <v>-6220100000</v>
      </c>
      <c r="E12" s="65" t="n">
        <f aca="false">WTB!F25</f>
        <v>0</v>
      </c>
      <c r="F12" s="55" t="n">
        <f aca="false">WTB!G25</f>
        <v>-6220100000</v>
      </c>
      <c r="G12" s="66" t="n">
        <f aca="false">IF('P1 - Materialitas'!C16=0,0,ABS(F12)/'P1 - Materialitas'!C16)</f>
        <v>3.84428426850843</v>
      </c>
      <c r="H12" s="49" t="s">
        <v>565</v>
      </c>
    </row>
    <row r="13" customFormat="false" ht="15" hidden="false" customHeight="false" outlineLevel="0" collapsed="false">
      <c r="A13" s="27" t="s">
        <v>437</v>
      </c>
      <c r="B13" s="18" t="s">
        <v>438</v>
      </c>
      <c r="C13" s="65" t="n">
        <f aca="false">WTB!D37</f>
        <v>9180000000</v>
      </c>
      <c r="D13" s="65" t="n">
        <f aca="false">WTB!E37</f>
        <v>11240000000</v>
      </c>
      <c r="E13" s="65" t="n">
        <f aca="false">WTB!F37</f>
        <v>-470000000</v>
      </c>
      <c r="F13" s="55" t="n">
        <f aca="false">WTB!G37</f>
        <v>10770000000</v>
      </c>
      <c r="G13" s="66" t="n">
        <f aca="false">IF('P1 - Materialitas'!C16=0,0,ABS(F13)/'P1 - Materialitas'!C16)</f>
        <v>6.65631445986975</v>
      </c>
      <c r="H13" s="49" t="s">
        <v>566</v>
      </c>
    </row>
    <row r="14" customFormat="false" ht="15" hidden="false" customHeight="false" outlineLevel="0" collapsed="false">
      <c r="B14" s="63" t="s">
        <v>491</v>
      </c>
      <c r="C14" s="58" t="n">
        <f aca="false">SUM(C10:C13)</f>
        <v>12211800000</v>
      </c>
      <c r="D14" s="58" t="n">
        <f aca="false">SUM(D10:D13)</f>
        <v>14551700000</v>
      </c>
      <c r="E14" s="58" t="n">
        <f aca="false">SUM(E10:E13)</f>
        <v>0</v>
      </c>
      <c r="F14" s="58" t="n">
        <f aca="false">SUM(F10:F13)</f>
        <v>14551700000</v>
      </c>
      <c r="G14" s="67" t="n">
        <f aca="false">IF('P1 - Materialitas'!C16=0,0,ABS(F14)/'P1 - Materialitas'!C16)</f>
        <v>8.9935646356255</v>
      </c>
    </row>
    <row r="16" customFormat="false" ht="15" hidden="false" customHeight="false" outlineLevel="0" collapsed="false">
      <c r="A16" s="30" t="s">
        <v>492</v>
      </c>
      <c r="B16" s="30"/>
      <c r="C16" s="30"/>
      <c r="D16" s="30"/>
      <c r="E16" s="30"/>
      <c r="F16" s="30"/>
      <c r="G16" s="30"/>
      <c r="H16" s="30"/>
    </row>
    <row r="17" customFormat="false" ht="15" hidden="false" customHeight="false" outlineLevel="0" collapsed="false">
      <c r="A17" s="68" t="s">
        <v>327</v>
      </c>
      <c r="B17" s="69" t="s">
        <v>493</v>
      </c>
      <c r="C17" s="68" t="s">
        <v>251</v>
      </c>
      <c r="D17" s="68" t="s">
        <v>494</v>
      </c>
      <c r="E17" s="70" t="s">
        <v>495</v>
      </c>
      <c r="F17" s="70"/>
      <c r="G17" s="70"/>
      <c r="H17" s="70"/>
    </row>
    <row r="18" customFormat="false" ht="27.75" hidden="false" customHeight="true" outlineLevel="0" collapsed="false">
      <c r="A18" s="27" t="n">
        <v>1</v>
      </c>
      <c r="B18" s="28" t="s">
        <v>567</v>
      </c>
      <c r="C18" s="40" t="s">
        <v>497</v>
      </c>
      <c r="D18" s="29" t="s">
        <v>178</v>
      </c>
      <c r="E18" s="71"/>
      <c r="F18" s="71"/>
      <c r="G18" s="71"/>
      <c r="H18" s="71"/>
    </row>
    <row r="19" customFormat="false" ht="27.75" hidden="false" customHeight="true" outlineLevel="0" collapsed="false">
      <c r="A19" s="27" t="n">
        <v>2</v>
      </c>
      <c r="B19" s="28" t="s">
        <v>568</v>
      </c>
      <c r="C19" s="40" t="s">
        <v>499</v>
      </c>
      <c r="D19" s="29" t="s">
        <v>178</v>
      </c>
      <c r="E19" s="71"/>
      <c r="F19" s="71"/>
      <c r="G19" s="71"/>
      <c r="H19" s="71"/>
    </row>
    <row r="20" customFormat="false" ht="27.75" hidden="false" customHeight="true" outlineLevel="0" collapsed="false">
      <c r="A20" s="27" t="n">
        <v>3</v>
      </c>
      <c r="B20" s="28" t="s">
        <v>569</v>
      </c>
      <c r="C20" s="40" t="s">
        <v>501</v>
      </c>
      <c r="D20" s="29" t="s">
        <v>178</v>
      </c>
      <c r="E20" s="71"/>
      <c r="F20" s="71"/>
      <c r="G20" s="71"/>
      <c r="H20" s="71"/>
    </row>
    <row r="21" customFormat="false" ht="27.75" hidden="false" customHeight="true" outlineLevel="0" collapsed="false">
      <c r="A21" s="27" t="n">
        <v>4</v>
      </c>
      <c r="B21" s="28" t="s">
        <v>570</v>
      </c>
      <c r="C21" s="40" t="s">
        <v>503</v>
      </c>
      <c r="D21" s="29" t="s">
        <v>178</v>
      </c>
      <c r="E21" s="71"/>
      <c r="F21" s="71"/>
      <c r="G21" s="71"/>
      <c r="H21" s="71"/>
    </row>
    <row r="22" customFormat="false" ht="27.75" hidden="false" customHeight="true" outlineLevel="0" collapsed="false">
      <c r="A22" s="27" t="n">
        <v>5</v>
      </c>
      <c r="B22" s="28" t="s">
        <v>571</v>
      </c>
      <c r="C22" s="40" t="s">
        <v>505</v>
      </c>
      <c r="D22" s="29" t="s">
        <v>178</v>
      </c>
      <c r="E22" s="71"/>
      <c r="F22" s="71"/>
      <c r="G22" s="71"/>
      <c r="H22" s="71"/>
    </row>
    <row r="24" customFormat="false" ht="15" hidden="false" customHeight="false" outlineLevel="0" collapsed="false">
      <c r="A24" s="30" t="s">
        <v>506</v>
      </c>
      <c r="B24" s="30"/>
      <c r="C24" s="30"/>
      <c r="D24" s="30"/>
      <c r="E24" s="30"/>
      <c r="F24" s="30"/>
      <c r="G24" s="30"/>
      <c r="H24" s="30"/>
    </row>
    <row r="25" customFormat="false" ht="39.75" hidden="false" customHeight="true" outlineLevel="0" collapsed="false">
      <c r="A25" s="34" t="s">
        <v>507</v>
      </c>
      <c r="B25" s="34"/>
      <c r="C25" s="34"/>
      <c r="D25" s="34"/>
      <c r="E25" s="34"/>
      <c r="F25" s="34"/>
      <c r="G25" s="34"/>
      <c r="H25" s="34"/>
    </row>
    <row r="26" customFormat="false" ht="15" hidden="false" customHeight="false" outlineLevel="0" collapsed="false">
      <c r="A26" s="34"/>
      <c r="B26" s="34"/>
      <c r="C26" s="34"/>
      <c r="D26" s="34"/>
      <c r="E26" s="34"/>
      <c r="F26" s="34"/>
      <c r="G26" s="34"/>
      <c r="H26" s="34"/>
    </row>
    <row r="28" customFormat="false" ht="15" hidden="false" customHeight="false" outlineLevel="0" collapsed="false">
      <c r="A28" s="24" t="s">
        <v>188</v>
      </c>
      <c r="B28" s="32" t="s">
        <v>21</v>
      </c>
      <c r="C28" s="33" t="s">
        <v>189</v>
      </c>
      <c r="D28" s="32" t="s">
        <v>190</v>
      </c>
      <c r="E28" s="24" t="s">
        <v>191</v>
      </c>
      <c r="F28" s="32" t="s">
        <v>19</v>
      </c>
      <c r="G28" s="33" t="s">
        <v>189</v>
      </c>
      <c r="H28" s="32" t="s">
        <v>190</v>
      </c>
    </row>
    <row r="29" customFormat="false" ht="15" hidden="false" customHeight="false" outlineLevel="0" collapsed="false">
      <c r="A29" s="24" t="s">
        <v>192</v>
      </c>
      <c r="B29" s="32" t="s">
        <v>17</v>
      </c>
      <c r="C29" s="33" t="s">
        <v>189</v>
      </c>
      <c r="D29" s="32" t="s">
        <v>190</v>
      </c>
    </row>
  </sheetData>
  <mergeCells count="15">
    <mergeCell ref="A1:H1"/>
    <mergeCell ref="A2:H2"/>
    <mergeCell ref="A4:H4"/>
    <mergeCell ref="A5:H5"/>
    <mergeCell ref="A6:G6"/>
    <mergeCell ref="A7:H7"/>
    <mergeCell ref="A16:H16"/>
    <mergeCell ref="E17:H17"/>
    <mergeCell ref="E18:H18"/>
    <mergeCell ref="E19:H19"/>
    <mergeCell ref="E20:H20"/>
    <mergeCell ref="E21:H21"/>
    <mergeCell ref="E22:H22"/>
    <mergeCell ref="A24:H24"/>
    <mergeCell ref="A25:H26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572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573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485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374</v>
      </c>
      <c r="B9" s="16" t="s">
        <v>375</v>
      </c>
      <c r="C9" s="16" t="s">
        <v>486</v>
      </c>
      <c r="D9" s="16" t="s">
        <v>487</v>
      </c>
      <c r="E9" s="16" t="s">
        <v>80</v>
      </c>
      <c r="F9" s="16" t="s">
        <v>488</v>
      </c>
      <c r="G9" s="16" t="s">
        <v>489</v>
      </c>
      <c r="H9" s="16" t="s">
        <v>35</v>
      </c>
    </row>
    <row r="10" customFormat="false" ht="15" hidden="false" customHeight="false" outlineLevel="0" collapsed="false">
      <c r="A10" s="27" t="s">
        <v>420</v>
      </c>
      <c r="B10" s="18" t="s">
        <v>421</v>
      </c>
      <c r="C10" s="65" t="n">
        <f aca="false">WTB!D29</f>
        <v>-11220000000</v>
      </c>
      <c r="D10" s="65" t="n">
        <f aca="false">WTB!E29</f>
        <v>-13080000000</v>
      </c>
      <c r="E10" s="65" t="n">
        <f aca="false">WTB!F29</f>
        <v>0</v>
      </c>
      <c r="F10" s="55" t="n">
        <f aca="false">WTB!G29</f>
        <v>-13080000000</v>
      </c>
      <c r="G10" s="66" t="n">
        <f aca="false">IF('P1 - Materialitas'!C16=0,0,ABS(F10)/'P1 - Materialitas'!C16)</f>
        <v>8.08399193454933</v>
      </c>
      <c r="H10" s="49" t="s">
        <v>574</v>
      </c>
    </row>
    <row r="11" customFormat="false" ht="15" hidden="false" customHeight="false" outlineLevel="0" collapsed="false">
      <c r="B11" s="63" t="s">
        <v>491</v>
      </c>
      <c r="C11" s="58" t="n">
        <f aca="false">SUM(C10)</f>
        <v>-11220000000</v>
      </c>
      <c r="D11" s="58" t="n">
        <f aca="false">SUM(D10)</f>
        <v>-13080000000</v>
      </c>
      <c r="E11" s="58" t="n">
        <f aca="false">SUM(E10)</f>
        <v>0</v>
      </c>
      <c r="F11" s="58" t="n">
        <f aca="false">SUM(F10)</f>
        <v>-13080000000</v>
      </c>
      <c r="G11" s="67" t="n">
        <f aca="false">IF('P1 - Materialitas'!C16=0,0,ABS(F11)/'P1 - Materialitas'!C16)</f>
        <v>8.08399193454933</v>
      </c>
    </row>
    <row r="13" customFormat="false" ht="15" hidden="false" customHeight="false" outlineLevel="0" collapsed="false">
      <c r="A13" s="30" t="s">
        <v>492</v>
      </c>
      <c r="B13" s="30"/>
      <c r="C13" s="30"/>
      <c r="D13" s="30"/>
      <c r="E13" s="30"/>
      <c r="F13" s="30"/>
      <c r="G13" s="30"/>
      <c r="H13" s="30"/>
    </row>
    <row r="14" customFormat="false" ht="15" hidden="false" customHeight="false" outlineLevel="0" collapsed="false">
      <c r="A14" s="68" t="s">
        <v>327</v>
      </c>
      <c r="B14" s="69" t="s">
        <v>493</v>
      </c>
      <c r="C14" s="68" t="s">
        <v>251</v>
      </c>
      <c r="D14" s="68" t="s">
        <v>494</v>
      </c>
      <c r="E14" s="70" t="s">
        <v>495</v>
      </c>
      <c r="F14" s="70"/>
      <c r="G14" s="70"/>
      <c r="H14" s="70"/>
    </row>
    <row r="15" customFormat="false" ht="27.75" hidden="false" customHeight="true" outlineLevel="0" collapsed="false">
      <c r="A15" s="27" t="n">
        <v>1</v>
      </c>
      <c r="B15" s="28" t="s">
        <v>575</v>
      </c>
      <c r="C15" s="40" t="s">
        <v>497</v>
      </c>
      <c r="D15" s="29" t="s">
        <v>178</v>
      </c>
      <c r="E15" s="71"/>
      <c r="F15" s="71"/>
      <c r="G15" s="71"/>
      <c r="H15" s="71"/>
    </row>
    <row r="16" customFormat="false" ht="27.75" hidden="false" customHeight="true" outlineLevel="0" collapsed="false">
      <c r="A16" s="27" t="n">
        <v>2</v>
      </c>
      <c r="B16" s="28" t="s">
        <v>576</v>
      </c>
      <c r="C16" s="40" t="s">
        <v>499</v>
      </c>
      <c r="D16" s="29" t="s">
        <v>178</v>
      </c>
      <c r="E16" s="71"/>
      <c r="F16" s="71"/>
      <c r="G16" s="71"/>
      <c r="H16" s="71"/>
    </row>
    <row r="17" customFormat="false" ht="27.75" hidden="false" customHeight="true" outlineLevel="0" collapsed="false">
      <c r="A17" s="27" t="n">
        <v>3</v>
      </c>
      <c r="B17" s="28" t="s">
        <v>577</v>
      </c>
      <c r="C17" s="40" t="s">
        <v>501</v>
      </c>
      <c r="D17" s="29" t="s">
        <v>178</v>
      </c>
      <c r="E17" s="71"/>
      <c r="F17" s="71"/>
      <c r="G17" s="71"/>
      <c r="H17" s="71"/>
    </row>
    <row r="18" customFormat="false" ht="27.75" hidden="false" customHeight="true" outlineLevel="0" collapsed="false">
      <c r="A18" s="27" t="n">
        <v>4</v>
      </c>
      <c r="B18" s="28" t="s">
        <v>578</v>
      </c>
      <c r="C18" s="40" t="s">
        <v>503</v>
      </c>
      <c r="D18" s="29" t="s">
        <v>178</v>
      </c>
      <c r="E18" s="71"/>
      <c r="F18" s="71"/>
      <c r="G18" s="71"/>
      <c r="H18" s="71"/>
    </row>
    <row r="19" customFormat="false" ht="27.75" hidden="false" customHeight="true" outlineLevel="0" collapsed="false">
      <c r="A19" s="27" t="n">
        <v>5</v>
      </c>
      <c r="B19" s="28" t="s">
        <v>579</v>
      </c>
      <c r="C19" s="40" t="s">
        <v>505</v>
      </c>
      <c r="D19" s="29" t="s">
        <v>178</v>
      </c>
      <c r="E19" s="71"/>
      <c r="F19" s="71"/>
      <c r="G19" s="71"/>
      <c r="H19" s="71"/>
    </row>
    <row r="21" customFormat="false" ht="15" hidden="false" customHeight="false" outlineLevel="0" collapsed="false">
      <c r="A21" s="30" t="s">
        <v>506</v>
      </c>
      <c r="B21" s="30"/>
      <c r="C21" s="30"/>
      <c r="D21" s="30"/>
      <c r="E21" s="30"/>
      <c r="F21" s="30"/>
      <c r="G21" s="30"/>
      <c r="H21" s="30"/>
    </row>
    <row r="22" customFormat="false" ht="39.75" hidden="false" customHeight="true" outlineLevel="0" collapsed="false">
      <c r="A22" s="34" t="s">
        <v>507</v>
      </c>
      <c r="B22" s="34"/>
      <c r="C22" s="34"/>
      <c r="D22" s="34"/>
      <c r="E22" s="34"/>
      <c r="F22" s="34"/>
      <c r="G22" s="34"/>
      <c r="H22" s="34"/>
    </row>
    <row r="23" customFormat="false" ht="15" hidden="false" customHeight="false" outlineLevel="0" collapsed="false">
      <c r="A23" s="34"/>
      <c r="B23" s="34"/>
      <c r="C23" s="34"/>
      <c r="D23" s="34"/>
      <c r="E23" s="34"/>
      <c r="F23" s="34"/>
      <c r="G23" s="34"/>
      <c r="H23" s="34"/>
    </row>
    <row r="25" customFormat="false" ht="15" hidden="false" customHeight="false" outlineLevel="0" collapsed="false">
      <c r="A25" s="24" t="s">
        <v>188</v>
      </c>
      <c r="B25" s="32" t="s">
        <v>21</v>
      </c>
      <c r="C25" s="33" t="s">
        <v>189</v>
      </c>
      <c r="D25" s="32" t="s">
        <v>190</v>
      </c>
      <c r="E25" s="24" t="s">
        <v>191</v>
      </c>
      <c r="F25" s="32" t="s">
        <v>19</v>
      </c>
      <c r="G25" s="33" t="s">
        <v>189</v>
      </c>
      <c r="H25" s="32" t="s">
        <v>190</v>
      </c>
    </row>
    <row r="26" customFormat="false" ht="15" hidden="false" customHeight="false" outlineLevel="0" collapsed="false">
      <c r="A26" s="24" t="s">
        <v>192</v>
      </c>
      <c r="B26" s="32" t="s">
        <v>17</v>
      </c>
      <c r="C26" s="33" t="s">
        <v>189</v>
      </c>
      <c r="D26" s="32" t="s">
        <v>190</v>
      </c>
    </row>
  </sheetData>
  <mergeCells count="15">
    <mergeCell ref="A1:H1"/>
    <mergeCell ref="A2:H2"/>
    <mergeCell ref="A4:H4"/>
    <mergeCell ref="A5:H5"/>
    <mergeCell ref="A6:G6"/>
    <mergeCell ref="A7:H7"/>
    <mergeCell ref="A13:H13"/>
    <mergeCell ref="E14:H14"/>
    <mergeCell ref="E15:H15"/>
    <mergeCell ref="E16:H16"/>
    <mergeCell ref="E17:H17"/>
    <mergeCell ref="E18:H18"/>
    <mergeCell ref="E19:H19"/>
    <mergeCell ref="A21:H21"/>
    <mergeCell ref="A22:H23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580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581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485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374</v>
      </c>
      <c r="B9" s="16" t="s">
        <v>375</v>
      </c>
      <c r="C9" s="16" t="s">
        <v>486</v>
      </c>
      <c r="D9" s="16" t="s">
        <v>487</v>
      </c>
      <c r="E9" s="16" t="s">
        <v>80</v>
      </c>
      <c r="F9" s="16" t="s">
        <v>488</v>
      </c>
      <c r="G9" s="16" t="s">
        <v>489</v>
      </c>
      <c r="H9" s="16" t="s">
        <v>35</v>
      </c>
    </row>
    <row r="10" customFormat="false" ht="15" hidden="false" customHeight="false" outlineLevel="0" collapsed="false">
      <c r="A10" s="27" t="s">
        <v>422</v>
      </c>
      <c r="B10" s="18" t="s">
        <v>423</v>
      </c>
      <c r="C10" s="65" t="n">
        <f aca="false">WTB!D30</f>
        <v>-60000000000</v>
      </c>
      <c r="D10" s="65" t="n">
        <f aca="false">WTB!E30</f>
        <v>-60000000000</v>
      </c>
      <c r="E10" s="65" t="n">
        <f aca="false">WTB!F30</f>
        <v>0</v>
      </c>
      <c r="F10" s="55" t="n">
        <f aca="false">WTB!G30</f>
        <v>-60000000000</v>
      </c>
      <c r="G10" s="66" t="n">
        <f aca="false">IF('P1 - Materialitas'!C16=0,0,ABS(F10)/'P1 - Materialitas'!C16)</f>
        <v>37.0825318098593</v>
      </c>
      <c r="H10" s="49" t="s">
        <v>582</v>
      </c>
    </row>
    <row r="11" customFormat="false" ht="15" hidden="false" customHeight="false" outlineLevel="0" collapsed="false">
      <c r="A11" s="27" t="s">
        <v>424</v>
      </c>
      <c r="B11" s="18" t="s">
        <v>425</v>
      </c>
      <c r="C11" s="65" t="n">
        <f aca="false">WTB!D31</f>
        <v>-82362900000</v>
      </c>
      <c r="D11" s="65" t="n">
        <f aca="false">WTB!E31</f>
        <v>-100456600000</v>
      </c>
      <c r="E11" s="65" t="n">
        <f aca="false">WTB!F31</f>
        <v>0</v>
      </c>
      <c r="F11" s="55" t="n">
        <f aca="false">WTB!G31</f>
        <v>-100456600000</v>
      </c>
      <c r="G11" s="66" t="n">
        <f aca="false">IF('P1 - Materialitas'!C16=0,0,ABS(F11)/'P1 - Materialitas'!C16)</f>
        <v>62.0864177501719</v>
      </c>
      <c r="H11" s="49" t="s">
        <v>583</v>
      </c>
    </row>
    <row r="12" customFormat="false" ht="15" hidden="false" customHeight="false" outlineLevel="0" collapsed="false">
      <c r="B12" s="63" t="s">
        <v>491</v>
      </c>
      <c r="C12" s="58" t="n">
        <f aca="false">SUM(C10:C11)</f>
        <v>-142362900000</v>
      </c>
      <c r="D12" s="58" t="n">
        <f aca="false">SUM(D10:D11)</f>
        <v>-160456600000</v>
      </c>
      <c r="E12" s="58" t="n">
        <f aca="false">SUM(E10:E11)</f>
        <v>0</v>
      </c>
      <c r="F12" s="58" t="n">
        <f aca="false">SUM(F10:F11)</f>
        <v>-160456600000</v>
      </c>
      <c r="G12" s="67" t="n">
        <f aca="false">IF('P1 - Materialitas'!C16=0,0,ABS(F12)/'P1 - Materialitas'!C16)</f>
        <v>99.1689495600312</v>
      </c>
    </row>
    <row r="14" customFormat="false" ht="15" hidden="false" customHeight="false" outlineLevel="0" collapsed="false">
      <c r="A14" s="30" t="s">
        <v>492</v>
      </c>
      <c r="B14" s="30"/>
      <c r="C14" s="30"/>
      <c r="D14" s="30"/>
      <c r="E14" s="30"/>
      <c r="F14" s="30"/>
      <c r="G14" s="30"/>
      <c r="H14" s="30"/>
    </row>
    <row r="15" customFormat="false" ht="15" hidden="false" customHeight="false" outlineLevel="0" collapsed="false">
      <c r="A15" s="68" t="s">
        <v>327</v>
      </c>
      <c r="B15" s="69" t="s">
        <v>493</v>
      </c>
      <c r="C15" s="68" t="s">
        <v>251</v>
      </c>
      <c r="D15" s="68" t="s">
        <v>494</v>
      </c>
      <c r="E15" s="70" t="s">
        <v>495</v>
      </c>
      <c r="F15" s="70"/>
      <c r="G15" s="70"/>
      <c r="H15" s="70"/>
    </row>
    <row r="16" customFormat="false" ht="27.75" hidden="false" customHeight="true" outlineLevel="0" collapsed="false">
      <c r="A16" s="27" t="n">
        <v>1</v>
      </c>
      <c r="B16" s="28" t="s">
        <v>584</v>
      </c>
      <c r="C16" s="40" t="s">
        <v>497</v>
      </c>
      <c r="D16" s="29" t="s">
        <v>178</v>
      </c>
      <c r="E16" s="71"/>
      <c r="F16" s="71"/>
      <c r="G16" s="71"/>
      <c r="H16" s="71"/>
    </row>
    <row r="17" customFormat="false" ht="27.75" hidden="false" customHeight="true" outlineLevel="0" collapsed="false">
      <c r="A17" s="27" t="n">
        <v>2</v>
      </c>
      <c r="B17" s="28" t="s">
        <v>585</v>
      </c>
      <c r="C17" s="40" t="s">
        <v>499</v>
      </c>
      <c r="D17" s="29" t="s">
        <v>178</v>
      </c>
      <c r="E17" s="71"/>
      <c r="F17" s="71"/>
      <c r="G17" s="71"/>
      <c r="H17" s="71"/>
    </row>
    <row r="18" customFormat="false" ht="27.75" hidden="false" customHeight="true" outlineLevel="0" collapsed="false">
      <c r="A18" s="27" t="n">
        <v>3</v>
      </c>
      <c r="B18" s="28" t="s">
        <v>586</v>
      </c>
      <c r="C18" s="40" t="s">
        <v>501</v>
      </c>
      <c r="D18" s="29" t="s">
        <v>178</v>
      </c>
      <c r="E18" s="71"/>
      <c r="F18" s="71"/>
      <c r="G18" s="71"/>
      <c r="H18" s="71"/>
    </row>
    <row r="19" customFormat="false" ht="27.75" hidden="false" customHeight="true" outlineLevel="0" collapsed="false">
      <c r="A19" s="27" t="n">
        <v>4</v>
      </c>
      <c r="B19" s="28" t="s">
        <v>587</v>
      </c>
      <c r="C19" s="40" t="s">
        <v>503</v>
      </c>
      <c r="D19" s="29" t="s">
        <v>178</v>
      </c>
      <c r="E19" s="71"/>
      <c r="F19" s="71"/>
      <c r="G19" s="71"/>
      <c r="H19" s="71"/>
    </row>
    <row r="20" customFormat="false" ht="27.75" hidden="false" customHeight="true" outlineLevel="0" collapsed="false">
      <c r="A20" s="27" t="n">
        <v>5</v>
      </c>
      <c r="B20" s="28" t="s">
        <v>588</v>
      </c>
      <c r="C20" s="40" t="s">
        <v>505</v>
      </c>
      <c r="D20" s="29" t="s">
        <v>178</v>
      </c>
      <c r="E20" s="71"/>
      <c r="F20" s="71"/>
      <c r="G20" s="71"/>
      <c r="H20" s="71"/>
    </row>
    <row r="22" customFormat="false" ht="15" hidden="false" customHeight="false" outlineLevel="0" collapsed="false">
      <c r="A22" s="30" t="s">
        <v>506</v>
      </c>
      <c r="B22" s="30"/>
      <c r="C22" s="30"/>
      <c r="D22" s="30"/>
      <c r="E22" s="30"/>
      <c r="F22" s="30"/>
      <c r="G22" s="30"/>
      <c r="H22" s="30"/>
    </row>
    <row r="23" customFormat="false" ht="39.75" hidden="false" customHeight="true" outlineLevel="0" collapsed="false">
      <c r="A23" s="34" t="s">
        <v>507</v>
      </c>
      <c r="B23" s="34"/>
      <c r="C23" s="34"/>
      <c r="D23" s="34"/>
      <c r="E23" s="34"/>
      <c r="F23" s="34"/>
      <c r="G23" s="34"/>
      <c r="H23" s="34"/>
    </row>
    <row r="24" customFormat="false" ht="15" hidden="false" customHeight="false" outlineLevel="0" collapsed="false">
      <c r="A24" s="34"/>
      <c r="B24" s="34"/>
      <c r="C24" s="34"/>
      <c r="D24" s="34"/>
      <c r="E24" s="34"/>
      <c r="F24" s="34"/>
      <c r="G24" s="34"/>
      <c r="H24" s="34"/>
    </row>
    <row r="26" customFormat="false" ht="15" hidden="false" customHeight="false" outlineLevel="0" collapsed="false">
      <c r="A26" s="24" t="s">
        <v>188</v>
      </c>
      <c r="B26" s="32" t="s">
        <v>21</v>
      </c>
      <c r="C26" s="33" t="s">
        <v>189</v>
      </c>
      <c r="D26" s="32" t="s">
        <v>190</v>
      </c>
      <c r="E26" s="24" t="s">
        <v>191</v>
      </c>
      <c r="F26" s="32" t="s">
        <v>19</v>
      </c>
      <c r="G26" s="33" t="s">
        <v>189</v>
      </c>
      <c r="H26" s="32" t="s">
        <v>190</v>
      </c>
    </row>
    <row r="27" customFormat="false" ht="15" hidden="false" customHeight="false" outlineLevel="0" collapsed="false">
      <c r="A27" s="24" t="s">
        <v>192</v>
      </c>
      <c r="B27" s="32" t="s">
        <v>17</v>
      </c>
      <c r="C27" s="33" t="s">
        <v>189</v>
      </c>
      <c r="D27" s="32" t="s">
        <v>190</v>
      </c>
    </row>
  </sheetData>
  <mergeCells count="15">
    <mergeCell ref="A1:H1"/>
    <mergeCell ref="A2:H2"/>
    <mergeCell ref="A4:H4"/>
    <mergeCell ref="A5:H5"/>
    <mergeCell ref="A6:G6"/>
    <mergeCell ref="A7:H7"/>
    <mergeCell ref="A14:H14"/>
    <mergeCell ref="E15:H15"/>
    <mergeCell ref="E16:H16"/>
    <mergeCell ref="E17:H17"/>
    <mergeCell ref="E18:H18"/>
    <mergeCell ref="E19:H19"/>
    <mergeCell ref="E20:H20"/>
    <mergeCell ref="A22:H22"/>
    <mergeCell ref="A23:H24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589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590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485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374</v>
      </c>
      <c r="B9" s="16" t="s">
        <v>375</v>
      </c>
      <c r="C9" s="16" t="s">
        <v>486</v>
      </c>
      <c r="D9" s="16" t="s">
        <v>487</v>
      </c>
      <c r="E9" s="16" t="s">
        <v>80</v>
      </c>
      <c r="F9" s="16" t="s">
        <v>488</v>
      </c>
      <c r="G9" s="16" t="s">
        <v>489</v>
      </c>
      <c r="H9" s="16" t="s">
        <v>35</v>
      </c>
    </row>
    <row r="10" customFormat="false" ht="15" hidden="false" customHeight="false" outlineLevel="0" collapsed="false">
      <c r="A10" s="27" t="s">
        <v>426</v>
      </c>
      <c r="B10" s="18" t="s">
        <v>427</v>
      </c>
      <c r="C10" s="65" t="n">
        <f aca="false">WTB!D32</f>
        <v>-284500000000</v>
      </c>
      <c r="D10" s="65" t="n">
        <f aca="false">WTB!E32</f>
        <v>-331900000000</v>
      </c>
      <c r="E10" s="65" t="n">
        <f aca="false">WTB!F32</f>
        <v>1850000000</v>
      </c>
      <c r="F10" s="55" t="n">
        <f aca="false">WTB!G32</f>
        <v>-330050000000</v>
      </c>
      <c r="G10" s="66" t="n">
        <f aca="false">IF('P1 - Materialitas'!C16=0,0,ABS(F10)/'P1 - Materialitas'!C16)</f>
        <v>203.984827064068</v>
      </c>
      <c r="H10" s="49" t="s">
        <v>591</v>
      </c>
    </row>
    <row r="11" customFormat="false" ht="15" hidden="false" customHeight="false" outlineLevel="0" collapsed="false">
      <c r="A11" s="27" t="s">
        <v>429</v>
      </c>
      <c r="B11" s="18" t="s">
        <v>430</v>
      </c>
      <c r="C11" s="65" t="n">
        <f aca="false">WTB!D33</f>
        <v>198420000000</v>
      </c>
      <c r="D11" s="65" t="n">
        <f aca="false">WTB!E33</f>
        <v>230140000000</v>
      </c>
      <c r="E11" s="65" t="n">
        <f aca="false">WTB!F33</f>
        <v>2340000000</v>
      </c>
      <c r="F11" s="55" t="n">
        <f aca="false">WTB!G33</f>
        <v>232480000000</v>
      </c>
      <c r="G11" s="66" t="n">
        <f aca="false">IF('P1 - Materialitas'!C16=0,0,ABS(F11)/'P1 - Materialitas'!C16)</f>
        <v>143.682449919268</v>
      </c>
      <c r="H11" s="49" t="s">
        <v>592</v>
      </c>
    </row>
    <row r="12" customFormat="false" ht="15" hidden="false" customHeight="false" outlineLevel="0" collapsed="false">
      <c r="A12" s="27" t="s">
        <v>431</v>
      </c>
      <c r="B12" s="18" t="s">
        <v>432</v>
      </c>
      <c r="C12" s="65" t="n">
        <f aca="false">WTB!D34</f>
        <v>22180000000</v>
      </c>
      <c r="D12" s="65" t="n">
        <f aca="false">WTB!E34</f>
        <v>26440000000</v>
      </c>
      <c r="E12" s="65" t="n">
        <f aca="false">WTB!F34</f>
        <v>0</v>
      </c>
      <c r="F12" s="55" t="n">
        <f aca="false">WTB!G34</f>
        <v>26440000000</v>
      </c>
      <c r="G12" s="66" t="n">
        <f aca="false">IF('P1 - Materialitas'!C16=0,0,ABS(F12)/'P1 - Materialitas'!C16)</f>
        <v>16.3410356842113</v>
      </c>
      <c r="H12" s="49" t="s">
        <v>593</v>
      </c>
    </row>
    <row r="13" customFormat="false" ht="15" hidden="false" customHeight="false" outlineLevel="0" collapsed="false">
      <c r="A13" s="27" t="s">
        <v>433</v>
      </c>
      <c r="B13" s="18" t="s">
        <v>434</v>
      </c>
      <c r="C13" s="65" t="n">
        <f aca="false">WTB!D35</f>
        <v>31990000000</v>
      </c>
      <c r="D13" s="65" t="n">
        <f aca="false">WTB!E35</f>
        <v>36720000000</v>
      </c>
      <c r="E13" s="65" t="n">
        <f aca="false">WTB!F35</f>
        <v>2720000000</v>
      </c>
      <c r="F13" s="55" t="n">
        <f aca="false">WTB!G35</f>
        <v>39440000000</v>
      </c>
      <c r="G13" s="66" t="n">
        <f aca="false">IF('P1 - Materialitas'!C16=0,0,ABS(F13)/'P1 - Materialitas'!C16)</f>
        <v>24.3755842430142</v>
      </c>
      <c r="H13" s="49" t="s">
        <v>594</v>
      </c>
    </row>
    <row r="14" customFormat="false" ht="15" hidden="false" customHeight="false" outlineLevel="0" collapsed="false">
      <c r="A14" s="27" t="s">
        <v>435</v>
      </c>
      <c r="B14" s="18" t="s">
        <v>436</v>
      </c>
      <c r="C14" s="65" t="n">
        <f aca="false">WTB!D36</f>
        <v>7220000000</v>
      </c>
      <c r="D14" s="65" t="n">
        <f aca="false">WTB!E36</f>
        <v>8910000000</v>
      </c>
      <c r="E14" s="65" t="n">
        <f aca="false">WTB!F36</f>
        <v>0</v>
      </c>
      <c r="F14" s="55" t="n">
        <f aca="false">WTB!G36</f>
        <v>8910000000</v>
      </c>
      <c r="G14" s="66" t="n">
        <f aca="false">IF('P1 - Materialitas'!C16=0,0,ABS(F14)/'P1 - Materialitas'!C16)</f>
        <v>5.50675597376411</v>
      </c>
      <c r="H14" s="49" t="s">
        <v>595</v>
      </c>
    </row>
    <row r="15" customFormat="false" ht="15" hidden="false" customHeight="false" outlineLevel="0" collapsed="false">
      <c r="B15" s="63" t="s">
        <v>491</v>
      </c>
      <c r="C15" s="58" t="n">
        <f aca="false">SUM(C10:C14)</f>
        <v>-24690000000</v>
      </c>
      <c r="D15" s="58" t="n">
        <f aca="false">SUM(D10:D14)</f>
        <v>-29690000000</v>
      </c>
      <c r="E15" s="58" t="n">
        <f aca="false">SUM(E10:E14)</f>
        <v>6910000000</v>
      </c>
      <c r="F15" s="58" t="n">
        <f aca="false">SUM(F10:F14)</f>
        <v>-22780000000</v>
      </c>
      <c r="G15" s="67" t="n">
        <f aca="false">IF('P1 - Materialitas'!C16=0,0,ABS(F15)/'P1 - Materialitas'!C16)</f>
        <v>14.0790012438099</v>
      </c>
    </row>
    <row r="17" customFormat="false" ht="15" hidden="false" customHeight="false" outlineLevel="0" collapsed="false">
      <c r="A17" s="30" t="s">
        <v>492</v>
      </c>
      <c r="B17" s="30"/>
      <c r="C17" s="30"/>
      <c r="D17" s="30"/>
      <c r="E17" s="30"/>
      <c r="F17" s="30"/>
      <c r="G17" s="30"/>
      <c r="H17" s="30"/>
    </row>
    <row r="18" customFormat="false" ht="15" hidden="false" customHeight="false" outlineLevel="0" collapsed="false">
      <c r="A18" s="68" t="s">
        <v>327</v>
      </c>
      <c r="B18" s="69" t="s">
        <v>493</v>
      </c>
      <c r="C18" s="68" t="s">
        <v>251</v>
      </c>
      <c r="D18" s="68" t="s">
        <v>494</v>
      </c>
      <c r="E18" s="70" t="s">
        <v>495</v>
      </c>
      <c r="F18" s="70"/>
      <c r="G18" s="70"/>
      <c r="H18" s="70"/>
    </row>
    <row r="19" customFormat="false" ht="27.75" hidden="false" customHeight="true" outlineLevel="0" collapsed="false">
      <c r="A19" s="27" t="n">
        <v>1</v>
      </c>
      <c r="B19" s="28" t="s">
        <v>596</v>
      </c>
      <c r="C19" s="40" t="s">
        <v>497</v>
      </c>
      <c r="D19" s="29" t="s">
        <v>178</v>
      </c>
      <c r="E19" s="71"/>
      <c r="F19" s="71"/>
      <c r="G19" s="71"/>
      <c r="H19" s="71"/>
    </row>
    <row r="20" customFormat="false" ht="27.75" hidden="false" customHeight="true" outlineLevel="0" collapsed="false">
      <c r="A20" s="27" t="n">
        <v>2</v>
      </c>
      <c r="B20" s="28" t="s">
        <v>597</v>
      </c>
      <c r="C20" s="40" t="s">
        <v>499</v>
      </c>
      <c r="D20" s="29" t="s">
        <v>178</v>
      </c>
      <c r="E20" s="71"/>
      <c r="F20" s="71"/>
      <c r="G20" s="71"/>
      <c r="H20" s="71"/>
    </row>
    <row r="21" customFormat="false" ht="27.75" hidden="false" customHeight="true" outlineLevel="0" collapsed="false">
      <c r="A21" s="27" t="n">
        <v>3</v>
      </c>
      <c r="B21" s="28" t="s">
        <v>598</v>
      </c>
      <c r="C21" s="40" t="s">
        <v>501</v>
      </c>
      <c r="D21" s="29" t="s">
        <v>178</v>
      </c>
      <c r="E21" s="71"/>
      <c r="F21" s="71"/>
      <c r="G21" s="71"/>
      <c r="H21" s="71"/>
    </row>
    <row r="22" customFormat="false" ht="27.75" hidden="false" customHeight="true" outlineLevel="0" collapsed="false">
      <c r="A22" s="27" t="n">
        <v>4</v>
      </c>
      <c r="B22" s="28" t="s">
        <v>599</v>
      </c>
      <c r="C22" s="40" t="s">
        <v>503</v>
      </c>
      <c r="D22" s="29" t="s">
        <v>178</v>
      </c>
      <c r="E22" s="71"/>
      <c r="F22" s="71"/>
      <c r="G22" s="71"/>
      <c r="H22" s="71"/>
    </row>
    <row r="23" customFormat="false" ht="27.75" hidden="false" customHeight="true" outlineLevel="0" collapsed="false">
      <c r="A23" s="27" t="n">
        <v>5</v>
      </c>
      <c r="B23" s="28" t="s">
        <v>600</v>
      </c>
      <c r="C23" s="40" t="s">
        <v>505</v>
      </c>
      <c r="D23" s="29" t="s">
        <v>178</v>
      </c>
      <c r="E23" s="71"/>
      <c r="F23" s="71"/>
      <c r="G23" s="71"/>
      <c r="H23" s="71"/>
    </row>
    <row r="25" customFormat="false" ht="15" hidden="false" customHeight="false" outlineLevel="0" collapsed="false">
      <c r="A25" s="30" t="s">
        <v>506</v>
      </c>
      <c r="B25" s="30"/>
      <c r="C25" s="30"/>
      <c r="D25" s="30"/>
      <c r="E25" s="30"/>
      <c r="F25" s="30"/>
      <c r="G25" s="30"/>
      <c r="H25" s="30"/>
    </row>
    <row r="26" customFormat="false" ht="39.75" hidden="false" customHeight="true" outlineLevel="0" collapsed="false">
      <c r="A26" s="34" t="s">
        <v>507</v>
      </c>
      <c r="B26" s="34"/>
      <c r="C26" s="34"/>
      <c r="D26" s="34"/>
      <c r="E26" s="34"/>
      <c r="F26" s="34"/>
      <c r="G26" s="34"/>
      <c r="H26" s="34"/>
    </row>
    <row r="27" customFormat="false" ht="15" hidden="false" customHeight="false" outlineLevel="0" collapsed="false">
      <c r="A27" s="34"/>
      <c r="B27" s="34"/>
      <c r="C27" s="34"/>
      <c r="D27" s="34"/>
      <c r="E27" s="34"/>
      <c r="F27" s="34"/>
      <c r="G27" s="34"/>
      <c r="H27" s="34"/>
    </row>
    <row r="29" customFormat="false" ht="15" hidden="false" customHeight="false" outlineLevel="0" collapsed="false">
      <c r="A29" s="24" t="s">
        <v>188</v>
      </c>
      <c r="B29" s="32" t="s">
        <v>21</v>
      </c>
      <c r="C29" s="33" t="s">
        <v>189</v>
      </c>
      <c r="D29" s="32" t="s">
        <v>190</v>
      </c>
      <c r="E29" s="24" t="s">
        <v>191</v>
      </c>
      <c r="F29" s="32" t="s">
        <v>19</v>
      </c>
      <c r="G29" s="33" t="s">
        <v>189</v>
      </c>
      <c r="H29" s="32" t="s">
        <v>190</v>
      </c>
    </row>
    <row r="30" customFormat="false" ht="15" hidden="false" customHeight="false" outlineLevel="0" collapsed="false">
      <c r="A30" s="24" t="s">
        <v>192</v>
      </c>
      <c r="B30" s="32" t="s">
        <v>17</v>
      </c>
      <c r="C30" s="33" t="s">
        <v>189</v>
      </c>
      <c r="D30" s="32" t="s">
        <v>190</v>
      </c>
    </row>
  </sheetData>
  <mergeCells count="15">
    <mergeCell ref="A1:H1"/>
    <mergeCell ref="A2:H2"/>
    <mergeCell ref="A4:H4"/>
    <mergeCell ref="A5:H5"/>
    <mergeCell ref="A6:G6"/>
    <mergeCell ref="A7:H7"/>
    <mergeCell ref="A17:H17"/>
    <mergeCell ref="E18:H18"/>
    <mergeCell ref="E19:H19"/>
    <mergeCell ref="E20:H20"/>
    <mergeCell ref="E21:H21"/>
    <mergeCell ref="E22:H22"/>
    <mergeCell ref="E23:H23"/>
    <mergeCell ref="A25:H25"/>
    <mergeCell ref="A26:H27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8" min="7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601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602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603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604</v>
      </c>
      <c r="B9" s="16" t="s">
        <v>605</v>
      </c>
      <c r="C9" s="16" t="s">
        <v>606</v>
      </c>
      <c r="D9" s="16" t="s">
        <v>607</v>
      </c>
      <c r="E9" s="16" t="s">
        <v>608</v>
      </c>
      <c r="F9" s="16" t="s">
        <v>609</v>
      </c>
    </row>
    <row r="10" customFormat="false" ht="15" hidden="false" customHeight="false" outlineLevel="0" collapsed="false">
      <c r="A10" s="38" t="s">
        <v>610</v>
      </c>
      <c r="B10" s="65" t="n">
        <f aca="false">ABS(WTB!G32)</f>
        <v>330050000000</v>
      </c>
      <c r="C10" s="72" t="n">
        <f aca="false">ABS(WTB!D32)</f>
        <v>284500000000</v>
      </c>
      <c r="D10" s="72" t="n">
        <f aca="false">B10-C10</f>
        <v>45550000000</v>
      </c>
      <c r="E10" s="73" t="n">
        <f aca="false">IF(C10=0,0,(B10-C10)/C10)</f>
        <v>0.160105448154657</v>
      </c>
      <c r="F10" s="18"/>
    </row>
    <row r="11" customFormat="false" ht="15" hidden="false" customHeight="false" outlineLevel="0" collapsed="false">
      <c r="A11" s="38" t="s">
        <v>611</v>
      </c>
      <c r="B11" s="65" t="n">
        <f aca="false">WTB!G33</f>
        <v>232480000000</v>
      </c>
      <c r="C11" s="72" t="n">
        <f aca="false">WTB!D33</f>
        <v>198420000000</v>
      </c>
      <c r="D11" s="72" t="n">
        <f aca="false">B11-C11</f>
        <v>34060000000</v>
      </c>
      <c r="E11" s="73" t="n">
        <f aca="false">IF(C11=0,0,(B11-C11)/C11)</f>
        <v>0.171656083056144</v>
      </c>
      <c r="F11" s="18"/>
    </row>
    <row r="12" customFormat="false" ht="15" hidden="false" customHeight="false" outlineLevel="0" collapsed="false">
      <c r="A12" s="38" t="s">
        <v>612</v>
      </c>
      <c r="B12" s="65" t="n">
        <f aca="false">B10-B11</f>
        <v>97570000000</v>
      </c>
      <c r="C12" s="72" t="n">
        <f aca="false">C10-C11</f>
        <v>86080000000</v>
      </c>
      <c r="D12" s="72" t="n">
        <f aca="false">B12-C12</f>
        <v>11490000000</v>
      </c>
      <c r="E12" s="73" t="n">
        <f aca="false">IF(C12=0,0,(B12-C12)/C12)</f>
        <v>0.133480483271375</v>
      </c>
      <c r="F12" s="18"/>
    </row>
    <row r="13" customFormat="false" ht="15" hidden="false" customHeight="false" outlineLevel="0" collapsed="false">
      <c r="A13" s="38" t="s">
        <v>613</v>
      </c>
      <c r="B13" s="74" t="n">
        <f aca="false">IF(B10=0,0,B12/B10)</f>
        <v>0.295621875473413</v>
      </c>
      <c r="C13" s="73" t="n">
        <f aca="false">IF(C10=0,0,C12/C10)</f>
        <v>0.302565905096661</v>
      </c>
      <c r="D13" s="73" t="n">
        <f aca="false">B13-C13</f>
        <v>-0.00694402962324769</v>
      </c>
      <c r="E13" s="39"/>
      <c r="F13" s="18"/>
    </row>
    <row r="14" customFormat="false" ht="15" hidden="false" customHeight="false" outlineLevel="0" collapsed="false">
      <c r="A14" s="38" t="s">
        <v>614</v>
      </c>
      <c r="B14" s="65" t="n">
        <f aca="false">WTB!G11+WTB!G12</f>
        <v>46872400000</v>
      </c>
      <c r="C14" s="72" t="n">
        <f aca="false">WTB!D11+WTB!D12</f>
        <v>40071900000</v>
      </c>
      <c r="D14" s="72" t="n">
        <f aca="false">B14-C14</f>
        <v>6800500000</v>
      </c>
      <c r="E14" s="73" t="n">
        <f aca="false">IF(C14=0,0,(B14-C14)/C14)</f>
        <v>0.169707450857084</v>
      </c>
      <c r="F14" s="18"/>
    </row>
    <row r="15" customFormat="false" ht="15" hidden="false" customHeight="false" outlineLevel="0" collapsed="false">
      <c r="A15" s="38" t="s">
        <v>615</v>
      </c>
      <c r="B15" s="75" t="n">
        <f aca="false">IF(B10=0,0,B14/B10*365)</f>
        <v>51.8358612331465</v>
      </c>
      <c r="C15" s="76" t="n">
        <f aca="false">IF(C10=0,0,C14/C10*365)</f>
        <v>51.4103462214411</v>
      </c>
      <c r="D15" s="76" t="n">
        <f aca="false">B15-C15</f>
        <v>0.425515011705365</v>
      </c>
      <c r="E15" s="73" t="n">
        <f aca="false">IF(C15=0,0,(B15-C15)/C15)</f>
        <v>0.00827683614252533</v>
      </c>
      <c r="F15" s="18"/>
    </row>
    <row r="16" customFormat="false" ht="15" hidden="false" customHeight="false" outlineLevel="0" collapsed="false">
      <c r="A16" s="38" t="s">
        <v>616</v>
      </c>
      <c r="B16" s="65" t="n">
        <f aca="false">WTB!G13</f>
        <v>76564100000</v>
      </c>
      <c r="C16" s="72" t="n">
        <f aca="false">WTB!D13</f>
        <v>64550200000</v>
      </c>
      <c r="D16" s="72" t="n">
        <f aca="false">B16-C16</f>
        <v>12013900000</v>
      </c>
      <c r="E16" s="73" t="n">
        <f aca="false">IF(C16=0,0,(B16-C16)/C16)</f>
        <v>0.186117161526998</v>
      </c>
      <c r="F16" s="18"/>
    </row>
    <row r="17" customFormat="false" ht="15" hidden="false" customHeight="false" outlineLevel="0" collapsed="false">
      <c r="A17" s="38" t="s">
        <v>617</v>
      </c>
      <c r="B17" s="75" t="n">
        <f aca="false">IF(B11=0,0,B16/B11*365)</f>
        <v>120.207744752237</v>
      </c>
      <c r="C17" s="76" t="n">
        <f aca="false">IF(C11=0,0,C16/C11*365)</f>
        <v>118.742178207842</v>
      </c>
      <c r="D17" s="76" t="n">
        <f aca="false">B17-C17</f>
        <v>1.46556654439479</v>
      </c>
      <c r="E17" s="73" t="n">
        <f aca="false">IF(C17=0,0,(B17-C17)/C17)</f>
        <v>0.0123424259729303</v>
      </c>
      <c r="F17" s="18"/>
    </row>
    <row r="19" customFormat="false" ht="15" hidden="false" customHeight="false" outlineLevel="0" collapsed="false">
      <c r="A19" s="77" t="s">
        <v>618</v>
      </c>
      <c r="B19" s="77"/>
      <c r="C19" s="77"/>
      <c r="D19" s="77"/>
      <c r="E19" s="77"/>
      <c r="F19" s="77"/>
    </row>
    <row r="20" customFormat="false" ht="36" hidden="false" customHeight="true" outlineLevel="0" collapsed="false">
      <c r="A20" s="34" t="s">
        <v>619</v>
      </c>
      <c r="B20" s="34"/>
      <c r="C20" s="34"/>
      <c r="D20" s="34"/>
      <c r="E20" s="34"/>
      <c r="F20" s="34"/>
    </row>
    <row r="21" customFormat="false" ht="15" hidden="false" customHeight="false" outlineLevel="0" collapsed="false">
      <c r="A21" s="34"/>
      <c r="B21" s="34"/>
      <c r="C21" s="34"/>
      <c r="D21" s="34"/>
      <c r="E21" s="34"/>
      <c r="F21" s="34"/>
    </row>
  </sheetData>
  <mergeCells count="8">
    <mergeCell ref="A1:H1"/>
    <mergeCell ref="A2:H2"/>
    <mergeCell ref="A4:H4"/>
    <mergeCell ref="A5:H5"/>
    <mergeCell ref="A6:G6"/>
    <mergeCell ref="A7:H7"/>
    <mergeCell ref="A19:F19"/>
    <mergeCell ref="A20:F21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8" min="5" style="0" width="12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620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621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622</v>
      </c>
      <c r="B7" s="15"/>
      <c r="C7" s="15"/>
      <c r="D7" s="15"/>
      <c r="E7" s="15"/>
      <c r="F7" s="15"/>
      <c r="G7" s="15"/>
      <c r="H7" s="15"/>
    </row>
    <row r="9" customFormat="false" ht="15" hidden="false" customHeight="false" outlineLevel="0" collapsed="false">
      <c r="A9" s="78" t="s">
        <v>623</v>
      </c>
      <c r="B9" s="79" t="s">
        <v>225</v>
      </c>
      <c r="C9" s="79"/>
      <c r="D9" s="78" t="s">
        <v>624</v>
      </c>
    </row>
    <row r="10" customFormat="false" ht="15" hidden="false" customHeight="false" outlineLevel="0" collapsed="false">
      <c r="A10" s="38" t="s">
        <v>625</v>
      </c>
      <c r="B10" s="80" t="n">
        <v>51322400000</v>
      </c>
      <c r="C10" s="80"/>
      <c r="D10" s="81" t="s">
        <v>626</v>
      </c>
    </row>
    <row r="11" customFormat="false" ht="15" hidden="false" customHeight="false" outlineLevel="0" collapsed="false">
      <c r="A11" s="38" t="s">
        <v>627</v>
      </c>
      <c r="B11" s="82" t="n">
        <v>0.95</v>
      </c>
      <c r="C11" s="82"/>
      <c r="D11" s="81" t="s">
        <v>628</v>
      </c>
    </row>
    <row r="12" customFormat="false" ht="15" hidden="false" customHeight="false" outlineLevel="0" collapsed="false">
      <c r="A12" s="38" t="s">
        <v>629</v>
      </c>
      <c r="B12" s="83" t="n">
        <v>3</v>
      </c>
      <c r="C12" s="83"/>
      <c r="D12" s="81" t="s">
        <v>630</v>
      </c>
    </row>
    <row r="13" customFormat="false" ht="15" hidden="false" customHeight="false" outlineLevel="0" collapsed="false">
      <c r="A13" s="38" t="s">
        <v>631</v>
      </c>
      <c r="B13" s="84" t="n">
        <f aca="false">'P1 - Materialitas'!C16</f>
        <v>1618012500</v>
      </c>
      <c r="C13" s="84"/>
      <c r="D13" s="81" t="s">
        <v>632</v>
      </c>
    </row>
    <row r="14" customFormat="false" ht="15" hidden="false" customHeight="false" outlineLevel="0" collapsed="false">
      <c r="A14" s="38" t="s">
        <v>633</v>
      </c>
      <c r="B14" s="80" t="n">
        <v>414000000</v>
      </c>
      <c r="C14" s="80"/>
      <c r="D14" s="81" t="s">
        <v>634</v>
      </c>
    </row>
    <row r="15" customFormat="false" ht="15" hidden="false" customHeight="false" outlineLevel="0" collapsed="false">
      <c r="A15" s="38" t="s">
        <v>635</v>
      </c>
      <c r="B15" s="83" t="n">
        <v>1.6</v>
      </c>
      <c r="C15" s="83"/>
      <c r="D15" s="81" t="s">
        <v>636</v>
      </c>
    </row>
    <row r="17" customFormat="false" ht="15" hidden="false" customHeight="false" outlineLevel="0" collapsed="false">
      <c r="A17" s="43" t="s">
        <v>637</v>
      </c>
      <c r="B17" s="85" t="n">
        <f aca="false">B13/B12</f>
        <v>539337500</v>
      </c>
      <c r="C17" s="85"/>
      <c r="D17" s="86" t="s">
        <v>638</v>
      </c>
    </row>
    <row r="18" customFormat="false" ht="15" hidden="false" customHeight="false" outlineLevel="0" collapsed="false">
      <c r="A18" s="87" t="s">
        <v>639</v>
      </c>
      <c r="B18" s="88" t="n">
        <f aca="false">ROUNDUP((B10*B12)/(B13-B14*B15),0)</f>
        <v>162</v>
      </c>
      <c r="C18" s="88"/>
      <c r="D18" s="89" t="s">
        <v>640</v>
      </c>
    </row>
    <row r="20" customFormat="false" ht="15" hidden="false" customHeight="false" outlineLevel="0" collapsed="false">
      <c r="A20" s="90" t="s">
        <v>641</v>
      </c>
      <c r="B20" s="90"/>
      <c r="C20" s="90"/>
      <c r="D20" s="90"/>
      <c r="E20" s="90"/>
      <c r="F20" s="90"/>
      <c r="G20" s="90"/>
      <c r="H20" s="90"/>
    </row>
  </sheetData>
  <mergeCells count="16">
    <mergeCell ref="A1:H1"/>
    <mergeCell ref="A2:H2"/>
    <mergeCell ref="A4:H4"/>
    <mergeCell ref="A5:H5"/>
    <mergeCell ref="A6:G6"/>
    <mergeCell ref="A7:H7"/>
    <mergeCell ref="B9:C9"/>
    <mergeCell ref="B10:C10"/>
    <mergeCell ref="B11:C11"/>
    <mergeCell ref="B12:C12"/>
    <mergeCell ref="B13:C13"/>
    <mergeCell ref="B14:C14"/>
    <mergeCell ref="B15:C15"/>
    <mergeCell ref="B17:C17"/>
    <mergeCell ref="B18:C18"/>
    <mergeCell ref="A20:H20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6" min="4" style="0" width="16"/>
    <col collapsed="false" customWidth="true" hidden="false" outlineLevel="0" max="7" min="7" style="0" width="24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642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643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644</v>
      </c>
      <c r="B7" s="15"/>
      <c r="C7" s="15"/>
      <c r="D7" s="15"/>
      <c r="E7" s="15"/>
      <c r="F7" s="15"/>
      <c r="G7" s="15"/>
      <c r="H7" s="15"/>
    </row>
    <row r="9" customFormat="false" ht="25.5" hidden="false" customHeight="true" outlineLevel="0" collapsed="false">
      <c r="A9" s="16" t="s">
        <v>645</v>
      </c>
      <c r="B9" s="16" t="s">
        <v>646</v>
      </c>
      <c r="C9" s="16" t="s">
        <v>446</v>
      </c>
      <c r="D9" s="16" t="s">
        <v>647</v>
      </c>
      <c r="E9" s="16" t="s">
        <v>648</v>
      </c>
      <c r="F9" s="16" t="s">
        <v>649</v>
      </c>
      <c r="G9" s="16" t="s">
        <v>650</v>
      </c>
      <c r="H9" s="16" t="s">
        <v>39</v>
      </c>
    </row>
    <row r="10" customFormat="false" ht="24" hidden="false" customHeight="true" outlineLevel="0" collapsed="false">
      <c r="A10" s="27" t="s">
        <v>651</v>
      </c>
      <c r="B10" s="39" t="s">
        <v>652</v>
      </c>
      <c r="C10" s="28" t="s">
        <v>653</v>
      </c>
      <c r="D10" s="41" t="n">
        <v>4250000000</v>
      </c>
      <c r="E10" s="41" t="n">
        <v>4250000000</v>
      </c>
      <c r="F10" s="19" t="s">
        <v>654</v>
      </c>
      <c r="G10" s="91" t="s">
        <v>655</v>
      </c>
      <c r="H10" s="19" t="s">
        <v>656</v>
      </c>
    </row>
    <row r="11" customFormat="false" ht="24" hidden="false" customHeight="true" outlineLevel="0" collapsed="false">
      <c r="A11" s="27" t="s">
        <v>657</v>
      </c>
      <c r="B11" s="39" t="s">
        <v>652</v>
      </c>
      <c r="C11" s="28" t="s">
        <v>658</v>
      </c>
      <c r="D11" s="41" t="n">
        <v>1120000000</v>
      </c>
      <c r="E11" s="41" t="n">
        <v>1120000000</v>
      </c>
      <c r="F11" s="19" t="s">
        <v>659</v>
      </c>
      <c r="G11" s="91" t="s">
        <v>660</v>
      </c>
      <c r="H11" s="19" t="s">
        <v>656</v>
      </c>
    </row>
    <row r="12" customFormat="false" ht="24" hidden="false" customHeight="true" outlineLevel="0" collapsed="false">
      <c r="A12" s="27" t="s">
        <v>661</v>
      </c>
      <c r="B12" s="39" t="s">
        <v>662</v>
      </c>
      <c r="C12" s="28" t="s">
        <v>663</v>
      </c>
      <c r="D12" s="41" t="n">
        <v>2000000000</v>
      </c>
      <c r="E12" s="41" t="n">
        <v>2000000000</v>
      </c>
      <c r="F12" s="19" t="s">
        <v>654</v>
      </c>
      <c r="G12" s="91" t="s">
        <v>664</v>
      </c>
      <c r="H12" s="19" t="s">
        <v>656</v>
      </c>
    </row>
    <row r="13" customFormat="false" ht="24" hidden="false" customHeight="true" outlineLevel="0" collapsed="false">
      <c r="A13" s="27" t="s">
        <v>665</v>
      </c>
      <c r="B13" s="39" t="s">
        <v>652</v>
      </c>
      <c r="C13" s="28" t="s">
        <v>666</v>
      </c>
      <c r="D13" s="41" t="n">
        <v>1850000000</v>
      </c>
      <c r="E13" s="41" t="n">
        <v>1850000000</v>
      </c>
      <c r="F13" s="19" t="s">
        <v>659</v>
      </c>
      <c r="G13" s="91" t="s">
        <v>667</v>
      </c>
      <c r="H13" s="19" t="s">
        <v>656</v>
      </c>
    </row>
    <row r="14" customFormat="false" ht="24" hidden="false" customHeight="true" outlineLevel="0" collapsed="false">
      <c r="A14" s="27" t="s">
        <v>668</v>
      </c>
      <c r="B14" s="39" t="s">
        <v>669</v>
      </c>
      <c r="C14" s="28" t="s">
        <v>670</v>
      </c>
      <c r="D14" s="41" t="n">
        <v>980000000</v>
      </c>
      <c r="E14" s="41" t="n">
        <v>980000000</v>
      </c>
      <c r="F14" s="19" t="s">
        <v>654</v>
      </c>
      <c r="G14" s="91" t="s">
        <v>671</v>
      </c>
      <c r="H14" s="19" t="s">
        <v>656</v>
      </c>
    </row>
    <row r="16" customFormat="false" ht="33.75" hidden="false" customHeight="true" outlineLevel="0" collapsed="false">
      <c r="A16" s="92" t="s">
        <v>672</v>
      </c>
      <c r="B16" s="92"/>
      <c r="C16" s="92"/>
      <c r="D16" s="92"/>
      <c r="E16" s="92"/>
      <c r="F16" s="92"/>
      <c r="G16" s="92"/>
      <c r="H16" s="92"/>
    </row>
  </sheetData>
  <mergeCells count="7">
    <mergeCell ref="A1:H1"/>
    <mergeCell ref="A2:H2"/>
    <mergeCell ref="A4:H4"/>
    <mergeCell ref="A5:H5"/>
    <mergeCell ref="A6:G6"/>
    <mergeCell ref="A7:H7"/>
    <mergeCell ref="A16:H16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24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673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674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675</v>
      </c>
      <c r="B7" s="15"/>
      <c r="C7" s="15"/>
      <c r="D7" s="15"/>
      <c r="E7" s="15"/>
      <c r="F7" s="15"/>
      <c r="G7" s="15"/>
      <c r="H7" s="15"/>
    </row>
    <row r="9" customFormat="false" ht="27.75" hidden="false" customHeight="true" outlineLevel="0" collapsed="false">
      <c r="A9" s="16" t="s">
        <v>172</v>
      </c>
      <c r="B9" s="16" t="s">
        <v>676</v>
      </c>
      <c r="C9" s="16" t="s">
        <v>677</v>
      </c>
      <c r="D9" s="16" t="s">
        <v>678</v>
      </c>
      <c r="E9" s="16" t="s">
        <v>679</v>
      </c>
      <c r="F9" s="16" t="s">
        <v>680</v>
      </c>
      <c r="G9" s="16" t="s">
        <v>681</v>
      </c>
      <c r="H9" s="16" t="s">
        <v>682</v>
      </c>
    </row>
    <row r="10" customFormat="false" ht="24" hidden="false" customHeight="true" outlineLevel="0" collapsed="false">
      <c r="A10" s="27" t="s">
        <v>331</v>
      </c>
      <c r="B10" s="28" t="s">
        <v>683</v>
      </c>
      <c r="C10" s="19" t="s">
        <v>684</v>
      </c>
      <c r="D10" s="39"/>
      <c r="E10" s="39"/>
      <c r="F10" s="72"/>
      <c r="G10" s="72"/>
      <c r="H10" s="46" t="s">
        <v>685</v>
      </c>
    </row>
    <row r="11" customFormat="false" ht="24" hidden="false" customHeight="true" outlineLevel="0" collapsed="false">
      <c r="A11" s="27" t="s">
        <v>280</v>
      </c>
      <c r="B11" s="28" t="s">
        <v>686</v>
      </c>
      <c r="C11" s="19" t="s">
        <v>684</v>
      </c>
      <c r="D11" s="39"/>
      <c r="E11" s="39"/>
      <c r="F11" s="72"/>
      <c r="G11" s="72"/>
      <c r="H11" s="46" t="s">
        <v>687</v>
      </c>
    </row>
    <row r="12" customFormat="false" ht="24" hidden="false" customHeight="true" outlineLevel="0" collapsed="false">
      <c r="A12" s="27" t="s">
        <v>270</v>
      </c>
      <c r="B12" s="28" t="s">
        <v>688</v>
      </c>
      <c r="C12" s="19" t="s">
        <v>684</v>
      </c>
      <c r="D12" s="39"/>
      <c r="E12" s="39"/>
      <c r="F12" s="72"/>
      <c r="G12" s="72"/>
      <c r="H12" s="46"/>
    </row>
    <row r="13" customFormat="false" ht="24" hidden="false" customHeight="true" outlineLevel="0" collapsed="false">
      <c r="A13" s="27" t="s">
        <v>262</v>
      </c>
      <c r="B13" s="28" t="s">
        <v>689</v>
      </c>
      <c r="C13" s="19" t="s">
        <v>684</v>
      </c>
      <c r="D13" s="39"/>
      <c r="E13" s="39"/>
      <c r="F13" s="72"/>
      <c r="G13" s="72"/>
      <c r="H13" s="46" t="s">
        <v>690</v>
      </c>
    </row>
    <row r="14" customFormat="false" ht="15" hidden="false" customHeight="false" outlineLevel="0" collapsed="false">
      <c r="A14" s="39"/>
      <c r="B14" s="39"/>
      <c r="C14" s="39"/>
      <c r="D14" s="39"/>
      <c r="E14" s="39"/>
      <c r="F14" s="39"/>
      <c r="G14" s="39"/>
      <c r="H14" s="39"/>
    </row>
    <row r="15" customFormat="false" ht="15" hidden="false" customHeight="false" outlineLevel="0" collapsed="false">
      <c r="A15" s="39"/>
      <c r="B15" s="39"/>
      <c r="C15" s="39"/>
      <c r="D15" s="39"/>
      <c r="E15" s="39"/>
      <c r="F15" s="39"/>
      <c r="G15" s="39"/>
      <c r="H15" s="39"/>
    </row>
    <row r="16" customFormat="false" ht="15" hidden="false" customHeight="false" outlineLevel="0" collapsed="false">
      <c r="A16" s="39"/>
      <c r="B16" s="39"/>
      <c r="C16" s="39"/>
      <c r="D16" s="39"/>
      <c r="E16" s="39"/>
      <c r="F16" s="39"/>
      <c r="G16" s="39"/>
      <c r="H16" s="39"/>
    </row>
    <row r="17" customFormat="false" ht="15" hidden="false" customHeight="false" outlineLevel="0" collapsed="false">
      <c r="A17" s="39"/>
      <c r="B17" s="39"/>
      <c r="C17" s="39"/>
      <c r="D17" s="39"/>
      <c r="E17" s="39"/>
      <c r="F17" s="39"/>
      <c r="G17" s="39"/>
      <c r="H17" s="39"/>
    </row>
    <row r="19" customFormat="false" ht="30" hidden="false" customHeight="true" outlineLevel="0" collapsed="false">
      <c r="A19" s="92" t="s">
        <v>691</v>
      </c>
      <c r="B19" s="92"/>
      <c r="C19" s="92"/>
      <c r="D19" s="92"/>
      <c r="E19" s="92"/>
      <c r="F19" s="92"/>
      <c r="G19" s="92"/>
      <c r="H19" s="92"/>
    </row>
  </sheetData>
  <mergeCells count="7">
    <mergeCell ref="A1:H1"/>
    <mergeCell ref="A2:H2"/>
    <mergeCell ref="A4:H4"/>
    <mergeCell ref="A5:H5"/>
    <mergeCell ref="A6:G6"/>
    <mergeCell ref="A7:H7"/>
    <mergeCell ref="A19:H19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</row>
    <row r="5" customFormat="false" ht="24" hidden="false" customHeight="true" outlineLevel="0" collapsed="false">
      <c r="A5" s="13" t="s">
        <v>692</v>
      </c>
      <c r="B5" s="13"/>
      <c r="C5" s="13"/>
      <c r="D5" s="13"/>
      <c r="E5" s="13"/>
      <c r="F5" s="13"/>
      <c r="G5" s="13"/>
    </row>
    <row r="6" customFormat="false" ht="15" hidden="false" customHeight="false" outlineLevel="0" collapsed="false">
      <c r="A6" s="14" t="s">
        <v>693</v>
      </c>
      <c r="B6" s="14"/>
      <c r="C6" s="14"/>
      <c r="D6" s="14"/>
      <c r="E6" s="14"/>
      <c r="F6" s="14"/>
      <c r="G6" s="26" t="s">
        <v>170</v>
      </c>
    </row>
    <row r="7" customFormat="false" ht="15" hidden="false" customHeight="false" outlineLevel="0" collapsed="false">
      <c r="A7" s="15" t="s">
        <v>694</v>
      </c>
      <c r="B7" s="15"/>
      <c r="C7" s="15"/>
      <c r="D7" s="15"/>
      <c r="E7" s="15"/>
      <c r="F7" s="15"/>
      <c r="G7" s="15"/>
    </row>
    <row r="9" customFormat="false" ht="27.75" hidden="false" customHeight="true" outlineLevel="0" collapsed="false">
      <c r="A9" s="16" t="s">
        <v>172</v>
      </c>
      <c r="B9" s="16" t="s">
        <v>695</v>
      </c>
      <c r="C9" s="16" t="s">
        <v>696</v>
      </c>
      <c r="D9" s="16" t="s">
        <v>697</v>
      </c>
      <c r="E9" s="16" t="s">
        <v>449</v>
      </c>
      <c r="F9" s="16" t="s">
        <v>698</v>
      </c>
      <c r="G9" s="16" t="s">
        <v>699</v>
      </c>
    </row>
    <row r="10" customFormat="false" ht="25.5" hidden="false" customHeight="true" outlineLevel="0" collapsed="false">
      <c r="A10" s="27" t="s">
        <v>331</v>
      </c>
      <c r="B10" s="28" t="s">
        <v>700</v>
      </c>
      <c r="C10" s="46" t="s">
        <v>701</v>
      </c>
      <c r="D10" s="46" t="s">
        <v>702</v>
      </c>
      <c r="E10" s="72"/>
      <c r="F10" s="19" t="s">
        <v>703</v>
      </c>
      <c r="G10" s="19" t="s">
        <v>704</v>
      </c>
    </row>
    <row r="11" customFormat="false" ht="25.5" hidden="false" customHeight="true" outlineLevel="0" collapsed="false">
      <c r="A11" s="27" t="s">
        <v>280</v>
      </c>
      <c r="B11" s="28" t="s">
        <v>705</v>
      </c>
      <c r="C11" s="46" t="s">
        <v>706</v>
      </c>
      <c r="D11" s="46" t="s">
        <v>707</v>
      </c>
      <c r="E11" s="72"/>
      <c r="F11" s="19" t="s">
        <v>703</v>
      </c>
      <c r="G11" s="19" t="s">
        <v>704</v>
      </c>
    </row>
    <row r="12" customFormat="false" ht="25.5" hidden="false" customHeight="true" outlineLevel="0" collapsed="false">
      <c r="A12" s="27" t="s">
        <v>270</v>
      </c>
      <c r="B12" s="28" t="s">
        <v>708</v>
      </c>
      <c r="C12" s="46" t="s">
        <v>709</v>
      </c>
      <c r="D12" s="46" t="s">
        <v>710</v>
      </c>
      <c r="E12" s="72"/>
      <c r="F12" s="19" t="s">
        <v>703</v>
      </c>
      <c r="G12" s="19" t="s">
        <v>704</v>
      </c>
    </row>
    <row r="13" customFormat="false" ht="15" hidden="false" customHeight="false" outlineLevel="0" collapsed="false">
      <c r="A13" s="39"/>
      <c r="B13" s="39"/>
      <c r="C13" s="39"/>
      <c r="D13" s="39"/>
      <c r="E13" s="39"/>
      <c r="F13" s="39"/>
      <c r="G13" s="39"/>
    </row>
    <row r="14" customFormat="false" ht="15" hidden="false" customHeight="false" outlineLevel="0" collapsed="false">
      <c r="A14" s="39"/>
      <c r="B14" s="39"/>
      <c r="C14" s="39"/>
      <c r="D14" s="39"/>
      <c r="E14" s="39"/>
      <c r="F14" s="39"/>
      <c r="G14" s="39"/>
    </row>
    <row r="15" customFormat="false" ht="15" hidden="false" customHeight="false" outlineLevel="0" collapsed="false">
      <c r="A15" s="39"/>
      <c r="B15" s="39"/>
      <c r="C15" s="39"/>
      <c r="D15" s="39"/>
      <c r="E15" s="39"/>
      <c r="F15" s="39"/>
      <c r="G15" s="39"/>
    </row>
    <row r="17" customFormat="false" ht="25.5" hidden="false" customHeight="true" outlineLevel="0" collapsed="false">
      <c r="A17" s="92" t="s">
        <v>711</v>
      </c>
      <c r="B17" s="92"/>
      <c r="C17" s="92"/>
      <c r="D17" s="92"/>
      <c r="E17" s="92"/>
      <c r="F17" s="92"/>
      <c r="G17" s="92"/>
    </row>
  </sheetData>
  <mergeCells count="7">
    <mergeCell ref="A1:G1"/>
    <mergeCell ref="A2:G2"/>
    <mergeCell ref="A4:G4"/>
    <mergeCell ref="A5:G5"/>
    <mergeCell ref="A6:F6"/>
    <mergeCell ref="A7:G7"/>
    <mergeCell ref="A17:G17"/>
  </mergeCells>
  <hyperlinks>
    <hyperlink ref="G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</row>
    <row r="5" customFormat="false" ht="24" hidden="false" customHeight="true" outlineLevel="0" collapsed="false">
      <c r="A5" s="13" t="s">
        <v>712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713</v>
      </c>
      <c r="B6" s="14"/>
      <c r="C6" s="14"/>
      <c r="D6" s="14"/>
      <c r="E6" s="26" t="s">
        <v>170</v>
      </c>
    </row>
    <row r="7" customFormat="false" ht="15" hidden="false" customHeight="false" outlineLevel="0" collapsed="false">
      <c r="A7" s="15" t="s">
        <v>714</v>
      </c>
      <c r="B7" s="15"/>
      <c r="C7" s="15"/>
      <c r="D7" s="15"/>
      <c r="E7" s="15"/>
    </row>
    <row r="9" customFormat="false" ht="21.75" hidden="false" customHeight="true" outlineLevel="0" collapsed="false">
      <c r="A9" s="16" t="s">
        <v>172</v>
      </c>
      <c r="B9" s="16" t="s">
        <v>196</v>
      </c>
      <c r="C9" s="16" t="s">
        <v>197</v>
      </c>
      <c r="D9" s="16" t="s">
        <v>175</v>
      </c>
      <c r="E9" s="16" t="s">
        <v>198</v>
      </c>
    </row>
    <row r="10" customFormat="false" ht="25.5" hidden="false" customHeight="true" outlineLevel="0" collapsed="false">
      <c r="A10" s="27" t="n">
        <v>1</v>
      </c>
      <c r="B10" s="28" t="s">
        <v>715</v>
      </c>
      <c r="C10" s="29" t="s">
        <v>178</v>
      </c>
      <c r="D10" s="29" t="s">
        <v>178</v>
      </c>
      <c r="E10" s="18"/>
    </row>
    <row r="11" customFormat="false" ht="25.5" hidden="false" customHeight="true" outlineLevel="0" collapsed="false">
      <c r="A11" s="27" t="n">
        <v>2</v>
      </c>
      <c r="B11" s="28" t="s">
        <v>716</v>
      </c>
      <c r="C11" s="29" t="s">
        <v>178</v>
      </c>
      <c r="D11" s="29" t="s">
        <v>178</v>
      </c>
      <c r="E11" s="18"/>
    </row>
    <row r="12" customFormat="false" ht="25.5" hidden="false" customHeight="true" outlineLevel="0" collapsed="false">
      <c r="A12" s="27" t="n">
        <v>3</v>
      </c>
      <c r="B12" s="28" t="s">
        <v>717</v>
      </c>
      <c r="C12" s="29" t="s">
        <v>178</v>
      </c>
      <c r="D12" s="29" t="s">
        <v>178</v>
      </c>
      <c r="E12" s="18"/>
    </row>
    <row r="13" customFormat="false" ht="25.5" hidden="false" customHeight="true" outlineLevel="0" collapsed="false">
      <c r="A13" s="27" t="n">
        <v>4</v>
      </c>
      <c r="B13" s="28" t="s">
        <v>718</v>
      </c>
      <c r="C13" s="29" t="s">
        <v>178</v>
      </c>
      <c r="D13" s="29" t="s">
        <v>178</v>
      </c>
      <c r="E13" s="18"/>
    </row>
    <row r="14" customFormat="false" ht="25.5" hidden="false" customHeight="true" outlineLevel="0" collapsed="false">
      <c r="A14" s="27" t="n">
        <v>5</v>
      </c>
      <c r="B14" s="28" t="s">
        <v>719</v>
      </c>
      <c r="C14" s="29" t="s">
        <v>178</v>
      </c>
      <c r="D14" s="29" t="s">
        <v>178</v>
      </c>
      <c r="E14" s="18"/>
    </row>
    <row r="16" customFormat="false" ht="15" hidden="false" customHeight="false" outlineLevel="0" collapsed="false">
      <c r="A16" s="30" t="s">
        <v>207</v>
      </c>
      <c r="B16" s="30"/>
      <c r="C16" s="30"/>
      <c r="D16" s="30"/>
      <c r="E16" s="30"/>
    </row>
    <row r="17" customFormat="false" ht="31.5" hidden="false" customHeight="true" outlineLevel="0" collapsed="false">
      <c r="A17" s="34" t="s">
        <v>208</v>
      </c>
      <c r="B17" s="34"/>
      <c r="C17" s="34"/>
      <c r="D17" s="34"/>
      <c r="E17" s="34"/>
    </row>
    <row r="18" customFormat="false" ht="15" hidden="false" customHeight="false" outlineLevel="0" collapsed="false">
      <c r="A18" s="34"/>
      <c r="B18" s="34"/>
      <c r="C18" s="34"/>
      <c r="D18" s="34"/>
      <c r="E18" s="34"/>
    </row>
    <row r="20" customFormat="false" ht="15" hidden="false" customHeight="false" outlineLevel="0" collapsed="false">
      <c r="A20" s="24" t="s">
        <v>188</v>
      </c>
      <c r="B20" s="32" t="s">
        <v>21</v>
      </c>
      <c r="C20" s="33" t="s">
        <v>189</v>
      </c>
      <c r="D20" s="32" t="s">
        <v>190</v>
      </c>
      <c r="E20" s="24" t="s">
        <v>191</v>
      </c>
      <c r="F20" s="32" t="s">
        <v>19</v>
      </c>
      <c r="G20" s="33" t="s">
        <v>189</v>
      </c>
      <c r="H20" s="32" t="s">
        <v>190</v>
      </c>
    </row>
    <row r="21" customFormat="false" ht="15" hidden="false" customHeight="false" outlineLevel="0" collapsed="false">
      <c r="A21" s="24" t="s">
        <v>192</v>
      </c>
      <c r="B21" s="32" t="s">
        <v>17</v>
      </c>
      <c r="C21" s="33" t="s">
        <v>189</v>
      </c>
      <c r="D21" s="32" t="s">
        <v>190</v>
      </c>
    </row>
  </sheetData>
  <mergeCells count="8">
    <mergeCell ref="A1:E1"/>
    <mergeCell ref="A2:E2"/>
    <mergeCell ref="A4:E4"/>
    <mergeCell ref="A5:E5"/>
    <mergeCell ref="A6:D6"/>
    <mergeCell ref="A7:E7"/>
    <mergeCell ref="A16:E16"/>
    <mergeCell ref="A17:E18"/>
  </mergeCells>
  <hyperlinks>
    <hyperlink ref="E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6" min="4" style="0" width="18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720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721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722</v>
      </c>
      <c r="B7" s="15"/>
      <c r="C7" s="15"/>
      <c r="D7" s="15"/>
      <c r="E7" s="15"/>
      <c r="F7" s="15"/>
      <c r="G7" s="15"/>
      <c r="H7" s="15"/>
    </row>
    <row r="9" customFormat="false" ht="25.5" hidden="false" customHeight="true" outlineLevel="0" collapsed="false">
      <c r="A9" s="16" t="s">
        <v>35</v>
      </c>
      <c r="B9" s="16" t="s">
        <v>446</v>
      </c>
      <c r="C9" s="16" t="s">
        <v>39</v>
      </c>
      <c r="D9" s="16" t="s">
        <v>723</v>
      </c>
      <c r="E9" s="16" t="s">
        <v>724</v>
      </c>
      <c r="F9" s="16" t="s">
        <v>725</v>
      </c>
      <c r="G9" s="16" t="s">
        <v>726</v>
      </c>
      <c r="H9" s="16" t="s">
        <v>257</v>
      </c>
    </row>
    <row r="10" customFormat="false" ht="24" hidden="false" customHeight="true" outlineLevel="0" collapsed="false">
      <c r="A10" s="27" t="s">
        <v>727</v>
      </c>
      <c r="B10" s="28" t="s">
        <v>728</v>
      </c>
      <c r="C10" s="21" t="s">
        <v>729</v>
      </c>
      <c r="D10" s="41" t="n">
        <v>-2340000000</v>
      </c>
      <c r="E10" s="41" t="n">
        <v>-2340000000</v>
      </c>
      <c r="F10" s="41" t="n">
        <v>0</v>
      </c>
      <c r="G10" s="40" t="s">
        <v>98</v>
      </c>
      <c r="H10" s="49" t="s">
        <v>89</v>
      </c>
    </row>
    <row r="11" customFormat="false" ht="24" hidden="false" customHeight="true" outlineLevel="0" collapsed="false">
      <c r="A11" s="27" t="s">
        <v>730</v>
      </c>
      <c r="B11" s="28" t="s">
        <v>731</v>
      </c>
      <c r="C11" s="21" t="s">
        <v>729</v>
      </c>
      <c r="D11" s="41" t="n">
        <v>-620000000</v>
      </c>
      <c r="E11" s="41" t="n">
        <v>-620000000</v>
      </c>
      <c r="F11" s="41" t="n">
        <v>0</v>
      </c>
      <c r="G11" s="40" t="s">
        <v>98</v>
      </c>
      <c r="H11" s="49" t="s">
        <v>86</v>
      </c>
    </row>
    <row r="12" customFormat="false" ht="24" hidden="false" customHeight="true" outlineLevel="0" collapsed="false">
      <c r="A12" s="27" t="s">
        <v>732</v>
      </c>
      <c r="B12" s="28" t="s">
        <v>733</v>
      </c>
      <c r="C12" s="21" t="s">
        <v>729</v>
      </c>
      <c r="D12" s="41" t="n">
        <v>-1850000000</v>
      </c>
      <c r="E12" s="41" t="n">
        <v>-1850000000</v>
      </c>
      <c r="F12" s="41" t="n">
        <v>0</v>
      </c>
      <c r="G12" s="40" t="s">
        <v>98</v>
      </c>
      <c r="H12" s="49" t="s">
        <v>86</v>
      </c>
    </row>
    <row r="13" customFormat="false" ht="24" hidden="false" customHeight="true" outlineLevel="0" collapsed="false">
      <c r="A13" s="27" t="s">
        <v>734</v>
      </c>
      <c r="B13" s="28" t="s">
        <v>735</v>
      </c>
      <c r="C13" s="21" t="s">
        <v>729</v>
      </c>
      <c r="D13" s="41" t="n">
        <v>-980000000</v>
      </c>
      <c r="E13" s="41" t="n">
        <v>0</v>
      </c>
      <c r="F13" s="41" t="n">
        <v>980000000</v>
      </c>
      <c r="G13" s="40" t="s">
        <v>98</v>
      </c>
      <c r="H13" s="49" t="s">
        <v>98</v>
      </c>
    </row>
    <row r="14" customFormat="false" ht="24" hidden="false" customHeight="true" outlineLevel="0" collapsed="false">
      <c r="A14" s="27" t="s">
        <v>736</v>
      </c>
      <c r="B14" s="28" t="s">
        <v>737</v>
      </c>
      <c r="C14" s="21" t="s">
        <v>729</v>
      </c>
      <c r="D14" s="41" t="n">
        <v>-1120000000</v>
      </c>
      <c r="E14" s="41" t="n">
        <v>-1120000000</v>
      </c>
      <c r="F14" s="41" t="n">
        <v>0</v>
      </c>
      <c r="G14" s="40" t="s">
        <v>98</v>
      </c>
      <c r="H14" s="49" t="s">
        <v>92</v>
      </c>
    </row>
    <row r="15" customFormat="false" ht="24" hidden="false" customHeight="true" outlineLevel="0" collapsed="false">
      <c r="A15" s="27" t="s">
        <v>738</v>
      </c>
      <c r="B15" s="28" t="s">
        <v>739</v>
      </c>
      <c r="C15" s="22" t="s">
        <v>740</v>
      </c>
      <c r="D15" s="41" t="n">
        <v>-310000000</v>
      </c>
      <c r="E15" s="41" t="n">
        <v>0</v>
      </c>
      <c r="F15" s="41" t="n">
        <v>310000000</v>
      </c>
      <c r="G15" s="40" t="s">
        <v>95</v>
      </c>
      <c r="H15" s="49" t="s">
        <v>98</v>
      </c>
    </row>
    <row r="16" customFormat="false" ht="24" hidden="false" customHeight="true" outlineLevel="0" collapsed="false">
      <c r="A16" s="27" t="s">
        <v>741</v>
      </c>
      <c r="B16" s="28" t="s">
        <v>742</v>
      </c>
      <c r="C16" s="22" t="s">
        <v>740</v>
      </c>
      <c r="D16" s="41" t="n">
        <v>-150000000</v>
      </c>
      <c r="E16" s="41" t="n">
        <v>0</v>
      </c>
      <c r="F16" s="41" t="n">
        <v>0</v>
      </c>
      <c r="G16" s="40" t="s">
        <v>110</v>
      </c>
      <c r="H16" s="49" t="s">
        <v>113</v>
      </c>
    </row>
    <row r="17" customFormat="false" ht="15" hidden="false" customHeight="false" outlineLevel="0" collapsed="false">
      <c r="B17" s="63" t="s">
        <v>743</v>
      </c>
      <c r="D17" s="58" t="n">
        <f aca="false">SUMIF(C10:C16,"Corrected",D10:D16)</f>
        <v>-6910000000</v>
      </c>
      <c r="E17" s="64"/>
      <c r="F17" s="64"/>
      <c r="G17" s="64"/>
      <c r="H17" s="64"/>
    </row>
    <row r="18" customFormat="false" ht="15" hidden="false" customHeight="false" outlineLevel="0" collapsed="false">
      <c r="B18" s="93" t="s">
        <v>744</v>
      </c>
      <c r="D18" s="94" t="n">
        <f aca="false">SUMIF(C10:C16,"Uncorrected",D10:D16)</f>
        <v>-460000000</v>
      </c>
      <c r="E18" s="64"/>
      <c r="F18" s="64"/>
      <c r="G18" s="64"/>
      <c r="H18" s="64"/>
    </row>
    <row r="20" customFormat="false" ht="15" hidden="false" customHeight="false" outlineLevel="0" collapsed="false">
      <c r="A20" s="30" t="s">
        <v>745</v>
      </c>
      <c r="B20" s="30"/>
      <c r="C20" s="30"/>
      <c r="D20" s="30"/>
      <c r="E20" s="30"/>
      <c r="F20" s="30"/>
      <c r="G20" s="30"/>
      <c r="H20" s="30"/>
    </row>
    <row r="21" customFormat="false" ht="15" hidden="false" customHeight="false" outlineLevel="0" collapsed="false">
      <c r="B21" s="95" t="s">
        <v>746</v>
      </c>
      <c r="D21" s="55" t="n">
        <f aca="false">ABS(D18)</f>
        <v>460000000</v>
      </c>
    </row>
    <row r="22" customFormat="false" ht="15" hidden="false" customHeight="false" outlineLevel="0" collapsed="false">
      <c r="B22" s="95" t="s">
        <v>747</v>
      </c>
      <c r="D22" s="65" t="n">
        <f aca="false">'P1 - Materialitas'!C14</f>
        <v>2489250000</v>
      </c>
    </row>
    <row r="23" customFormat="false" ht="15" hidden="false" customHeight="false" outlineLevel="0" collapsed="false">
      <c r="B23" s="96" t="s">
        <v>748</v>
      </c>
      <c r="D23" s="97" t="str">
        <f aca="false">IF(D21&lt;D22,"YA — tidak material","TIDAK — pertimbangkan modifikasi opini")</f>
        <v>YA — tidak material</v>
      </c>
      <c r="E23" s="97"/>
      <c r="F23" s="97"/>
      <c r="G23" s="97"/>
      <c r="H23" s="97"/>
    </row>
    <row r="25" customFormat="false" ht="39.75" hidden="false" customHeight="true" outlineLevel="0" collapsed="false">
      <c r="A25" s="34" t="s">
        <v>749</v>
      </c>
      <c r="B25" s="34"/>
      <c r="C25" s="34"/>
      <c r="D25" s="34"/>
      <c r="E25" s="34"/>
      <c r="F25" s="34"/>
      <c r="G25" s="34"/>
      <c r="H25" s="34"/>
    </row>
    <row r="26" customFormat="false" ht="15" hidden="false" customHeight="false" outlineLevel="0" collapsed="false">
      <c r="A26" s="34"/>
      <c r="B26" s="34"/>
      <c r="C26" s="34"/>
      <c r="D26" s="34"/>
      <c r="E26" s="34"/>
      <c r="F26" s="34"/>
      <c r="G26" s="34"/>
      <c r="H26" s="34"/>
    </row>
  </sheetData>
  <mergeCells count="11">
    <mergeCell ref="A1:H1"/>
    <mergeCell ref="A2:H2"/>
    <mergeCell ref="A4:H4"/>
    <mergeCell ref="A5:H5"/>
    <mergeCell ref="A6:G6"/>
    <mergeCell ref="A7:H7"/>
    <mergeCell ref="E17:H17"/>
    <mergeCell ref="E18:H18"/>
    <mergeCell ref="A20:H20"/>
    <mergeCell ref="D23:H23"/>
    <mergeCell ref="A25:H26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</row>
    <row r="5" customFormat="false" ht="24" hidden="false" customHeight="true" outlineLevel="0" collapsed="false">
      <c r="A5" s="13" t="s">
        <v>750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751</v>
      </c>
      <c r="B6" s="14"/>
      <c r="C6" s="14"/>
      <c r="D6" s="14"/>
      <c r="E6" s="26" t="s">
        <v>170</v>
      </c>
    </row>
    <row r="7" customFormat="false" ht="15" hidden="false" customHeight="false" outlineLevel="0" collapsed="false">
      <c r="A7" s="15" t="s">
        <v>752</v>
      </c>
      <c r="B7" s="15"/>
      <c r="C7" s="15"/>
      <c r="D7" s="15"/>
      <c r="E7" s="15"/>
    </row>
    <row r="9" customFormat="false" ht="21.75" hidden="false" customHeight="true" outlineLevel="0" collapsed="false">
      <c r="A9" s="16" t="s">
        <v>172</v>
      </c>
      <c r="B9" s="16" t="s">
        <v>196</v>
      </c>
      <c r="C9" s="16" t="s">
        <v>197</v>
      </c>
      <c r="D9" s="16" t="s">
        <v>175</v>
      </c>
      <c r="E9" s="16" t="s">
        <v>198</v>
      </c>
    </row>
    <row r="10" customFormat="false" ht="25.5" hidden="false" customHeight="true" outlineLevel="0" collapsed="false">
      <c r="A10" s="27" t="n">
        <v>1</v>
      </c>
      <c r="B10" s="28" t="s">
        <v>753</v>
      </c>
      <c r="C10" s="29" t="s">
        <v>178</v>
      </c>
      <c r="D10" s="29" t="s">
        <v>178</v>
      </c>
      <c r="E10" s="18"/>
    </row>
    <row r="11" customFormat="false" ht="25.5" hidden="false" customHeight="true" outlineLevel="0" collapsed="false">
      <c r="A11" s="27" t="n">
        <v>2</v>
      </c>
      <c r="B11" s="28" t="s">
        <v>754</v>
      </c>
      <c r="C11" s="29" t="s">
        <v>178</v>
      </c>
      <c r="D11" s="29" t="s">
        <v>178</v>
      </c>
      <c r="E11" s="18"/>
    </row>
    <row r="12" customFormat="false" ht="25.5" hidden="false" customHeight="true" outlineLevel="0" collapsed="false">
      <c r="A12" s="27" t="n">
        <v>3</v>
      </c>
      <c r="B12" s="28" t="s">
        <v>755</v>
      </c>
      <c r="C12" s="29" t="s">
        <v>178</v>
      </c>
      <c r="D12" s="29" t="s">
        <v>178</v>
      </c>
      <c r="E12" s="18"/>
    </row>
    <row r="13" customFormat="false" ht="25.5" hidden="false" customHeight="true" outlineLevel="0" collapsed="false">
      <c r="A13" s="27" t="n">
        <v>4</v>
      </c>
      <c r="B13" s="28" t="s">
        <v>756</v>
      </c>
      <c r="C13" s="29" t="s">
        <v>178</v>
      </c>
      <c r="D13" s="29" t="s">
        <v>178</v>
      </c>
      <c r="E13" s="18"/>
    </row>
    <row r="14" customFormat="false" ht="25.5" hidden="false" customHeight="true" outlineLevel="0" collapsed="false">
      <c r="A14" s="27" t="n">
        <v>5</v>
      </c>
      <c r="B14" s="28" t="s">
        <v>757</v>
      </c>
      <c r="C14" s="29" t="s">
        <v>178</v>
      </c>
      <c r="D14" s="29" t="s">
        <v>178</v>
      </c>
      <c r="E14" s="18"/>
    </row>
    <row r="15" customFormat="false" ht="25.5" hidden="false" customHeight="true" outlineLevel="0" collapsed="false">
      <c r="A15" s="27" t="n">
        <v>6</v>
      </c>
      <c r="B15" s="28" t="s">
        <v>758</v>
      </c>
      <c r="C15" s="29" t="s">
        <v>178</v>
      </c>
      <c r="D15" s="29" t="s">
        <v>178</v>
      </c>
      <c r="E15" s="18"/>
    </row>
    <row r="16" customFormat="false" ht="25.5" hidden="false" customHeight="true" outlineLevel="0" collapsed="false">
      <c r="A16" s="27" t="n">
        <v>7</v>
      </c>
      <c r="B16" s="28" t="s">
        <v>759</v>
      </c>
      <c r="C16" s="29" t="s">
        <v>178</v>
      </c>
      <c r="D16" s="29" t="s">
        <v>178</v>
      </c>
      <c r="E16" s="18"/>
    </row>
    <row r="17" customFormat="false" ht="25.5" hidden="false" customHeight="true" outlineLevel="0" collapsed="false">
      <c r="A17" s="27" t="n">
        <v>8</v>
      </c>
      <c r="B17" s="28" t="s">
        <v>760</v>
      </c>
      <c r="C17" s="29" t="s">
        <v>178</v>
      </c>
      <c r="D17" s="29" t="s">
        <v>178</v>
      </c>
      <c r="E17" s="18"/>
    </row>
    <row r="19" customFormat="false" ht="15" hidden="false" customHeight="false" outlineLevel="0" collapsed="false">
      <c r="A19" s="30" t="s">
        <v>207</v>
      </c>
      <c r="B19" s="30"/>
      <c r="C19" s="30"/>
      <c r="D19" s="30"/>
      <c r="E19" s="30"/>
    </row>
    <row r="20" customFormat="false" ht="31.5" hidden="false" customHeight="true" outlineLevel="0" collapsed="false">
      <c r="A20" s="34" t="s">
        <v>208</v>
      </c>
      <c r="B20" s="34"/>
      <c r="C20" s="34"/>
      <c r="D20" s="34"/>
      <c r="E20" s="34"/>
    </row>
    <row r="21" customFormat="false" ht="15" hidden="false" customHeight="false" outlineLevel="0" collapsed="false">
      <c r="A21" s="34"/>
      <c r="B21" s="34"/>
      <c r="C21" s="34"/>
      <c r="D21" s="34"/>
      <c r="E21" s="34"/>
    </row>
    <row r="23" customFormat="false" ht="15" hidden="false" customHeight="false" outlineLevel="0" collapsed="false">
      <c r="A23" s="24" t="s">
        <v>188</v>
      </c>
      <c r="B23" s="32" t="s">
        <v>21</v>
      </c>
      <c r="C23" s="33" t="s">
        <v>189</v>
      </c>
      <c r="D23" s="32" t="s">
        <v>190</v>
      </c>
      <c r="E23" s="24" t="s">
        <v>191</v>
      </c>
      <c r="F23" s="32" t="s">
        <v>19</v>
      </c>
      <c r="G23" s="33" t="s">
        <v>189</v>
      </c>
      <c r="H23" s="32" t="s">
        <v>190</v>
      </c>
    </row>
    <row r="24" customFormat="false" ht="15" hidden="false" customHeight="false" outlineLevel="0" collapsed="false">
      <c r="A24" s="24" t="s">
        <v>192</v>
      </c>
      <c r="B24" s="32" t="s">
        <v>17</v>
      </c>
      <c r="C24" s="33" t="s">
        <v>189</v>
      </c>
      <c r="D24" s="32" t="s">
        <v>190</v>
      </c>
    </row>
  </sheetData>
  <mergeCells count="8">
    <mergeCell ref="A1:E1"/>
    <mergeCell ref="A2:E2"/>
    <mergeCell ref="A4:E4"/>
    <mergeCell ref="A5:E5"/>
    <mergeCell ref="A6:D6"/>
    <mergeCell ref="A7:E7"/>
    <mergeCell ref="A19:E19"/>
    <mergeCell ref="A20:E21"/>
  </mergeCells>
  <hyperlinks>
    <hyperlink ref="E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</row>
    <row r="5" customFormat="false" ht="24" hidden="false" customHeight="true" outlineLevel="0" collapsed="false">
      <c r="A5" s="13" t="s">
        <v>761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762</v>
      </c>
      <c r="B6" s="14"/>
      <c r="C6" s="14"/>
      <c r="D6" s="14"/>
      <c r="E6" s="26" t="s">
        <v>170</v>
      </c>
    </row>
    <row r="7" customFormat="false" ht="15" hidden="false" customHeight="false" outlineLevel="0" collapsed="false">
      <c r="A7" s="15" t="s">
        <v>763</v>
      </c>
      <c r="B7" s="15"/>
      <c r="C7" s="15"/>
      <c r="D7" s="15"/>
      <c r="E7" s="15"/>
    </row>
    <row r="9" customFormat="false" ht="21.75" hidden="false" customHeight="true" outlineLevel="0" collapsed="false">
      <c r="A9" s="16" t="s">
        <v>172</v>
      </c>
      <c r="B9" s="16" t="s">
        <v>196</v>
      </c>
      <c r="C9" s="16" t="s">
        <v>197</v>
      </c>
      <c r="D9" s="16" t="s">
        <v>175</v>
      </c>
      <c r="E9" s="16" t="s">
        <v>198</v>
      </c>
    </row>
    <row r="10" customFormat="false" ht="25.5" hidden="false" customHeight="true" outlineLevel="0" collapsed="false">
      <c r="A10" s="27" t="n">
        <v>1</v>
      </c>
      <c r="B10" s="28" t="s">
        <v>764</v>
      </c>
      <c r="C10" s="29" t="s">
        <v>178</v>
      </c>
      <c r="D10" s="29" t="s">
        <v>178</v>
      </c>
      <c r="E10" s="18"/>
    </row>
    <row r="11" customFormat="false" ht="25.5" hidden="false" customHeight="true" outlineLevel="0" collapsed="false">
      <c r="A11" s="27" t="n">
        <v>2</v>
      </c>
      <c r="B11" s="28" t="s">
        <v>765</v>
      </c>
      <c r="C11" s="29" t="s">
        <v>178</v>
      </c>
      <c r="D11" s="29" t="s">
        <v>178</v>
      </c>
      <c r="E11" s="18"/>
    </row>
    <row r="12" customFormat="false" ht="25.5" hidden="false" customHeight="true" outlineLevel="0" collapsed="false">
      <c r="A12" s="27" t="n">
        <v>3</v>
      </c>
      <c r="B12" s="28" t="s">
        <v>766</v>
      </c>
      <c r="C12" s="29" t="s">
        <v>178</v>
      </c>
      <c r="D12" s="29" t="s">
        <v>178</v>
      </c>
      <c r="E12" s="18"/>
    </row>
    <row r="13" customFormat="false" ht="25.5" hidden="false" customHeight="true" outlineLevel="0" collapsed="false">
      <c r="A13" s="27" t="n">
        <v>4</v>
      </c>
      <c r="B13" s="28" t="s">
        <v>767</v>
      </c>
      <c r="C13" s="29" t="s">
        <v>178</v>
      </c>
      <c r="D13" s="29" t="s">
        <v>178</v>
      </c>
      <c r="E13" s="18"/>
    </row>
    <row r="14" customFormat="false" ht="25.5" hidden="false" customHeight="true" outlineLevel="0" collapsed="false">
      <c r="A14" s="27" t="n">
        <v>5</v>
      </c>
      <c r="B14" s="28" t="s">
        <v>768</v>
      </c>
      <c r="C14" s="29" t="s">
        <v>178</v>
      </c>
      <c r="D14" s="29" t="s">
        <v>178</v>
      </c>
      <c r="E14" s="18"/>
    </row>
    <row r="15" customFormat="false" ht="25.5" hidden="false" customHeight="true" outlineLevel="0" collapsed="false">
      <c r="A15" s="27" t="n">
        <v>6</v>
      </c>
      <c r="B15" s="28" t="s">
        <v>769</v>
      </c>
      <c r="C15" s="29" t="s">
        <v>178</v>
      </c>
      <c r="D15" s="29" t="s">
        <v>178</v>
      </c>
      <c r="E15" s="18"/>
    </row>
    <row r="17" customFormat="false" ht="15" hidden="false" customHeight="false" outlineLevel="0" collapsed="false">
      <c r="A17" s="30" t="s">
        <v>207</v>
      </c>
      <c r="B17" s="30"/>
      <c r="C17" s="30"/>
      <c r="D17" s="30"/>
      <c r="E17" s="30"/>
    </row>
    <row r="18" customFormat="false" ht="31.5" hidden="false" customHeight="true" outlineLevel="0" collapsed="false">
      <c r="A18" s="34" t="s">
        <v>208</v>
      </c>
      <c r="B18" s="34"/>
      <c r="C18" s="34"/>
      <c r="D18" s="34"/>
      <c r="E18" s="34"/>
    </row>
    <row r="19" customFormat="false" ht="15" hidden="false" customHeight="false" outlineLevel="0" collapsed="false">
      <c r="A19" s="34"/>
      <c r="B19" s="34"/>
      <c r="C19" s="34"/>
      <c r="D19" s="34"/>
      <c r="E19" s="34"/>
    </row>
    <row r="21" customFormat="false" ht="15" hidden="false" customHeight="false" outlineLevel="0" collapsed="false">
      <c r="A21" s="24" t="s">
        <v>188</v>
      </c>
      <c r="B21" s="32" t="s">
        <v>21</v>
      </c>
      <c r="C21" s="33" t="s">
        <v>189</v>
      </c>
      <c r="D21" s="32" t="s">
        <v>190</v>
      </c>
      <c r="E21" s="24" t="s">
        <v>191</v>
      </c>
      <c r="F21" s="32" t="s">
        <v>19</v>
      </c>
      <c r="G21" s="33" t="s">
        <v>189</v>
      </c>
      <c r="H21" s="32" t="s">
        <v>190</v>
      </c>
    </row>
    <row r="22" customFormat="false" ht="15" hidden="false" customHeight="false" outlineLevel="0" collapsed="false">
      <c r="A22" s="24" t="s">
        <v>192</v>
      </c>
      <c r="B22" s="32" t="s">
        <v>17</v>
      </c>
      <c r="C22" s="33" t="s">
        <v>189</v>
      </c>
      <c r="D22" s="32" t="s">
        <v>190</v>
      </c>
    </row>
  </sheetData>
  <mergeCells count="8">
    <mergeCell ref="A1:E1"/>
    <mergeCell ref="A2:E2"/>
    <mergeCell ref="A4:E4"/>
    <mergeCell ref="A5:E5"/>
    <mergeCell ref="A6:D6"/>
    <mergeCell ref="A7:E7"/>
    <mergeCell ref="A17:E17"/>
    <mergeCell ref="A18:E19"/>
  </mergeCells>
  <hyperlinks>
    <hyperlink ref="E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4" min="3" style="0" width="12"/>
    <col collapsed="false" customWidth="true" hidden="false" outlineLevel="0" max="5" min="5" style="0" width="34"/>
    <col collapsed="false" customWidth="true" hidden="false" outlineLevel="0" max="8" min="6" style="0" width="12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770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771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772</v>
      </c>
      <c r="B7" s="15"/>
      <c r="C7" s="15"/>
      <c r="D7" s="15"/>
      <c r="E7" s="15"/>
      <c r="F7" s="15"/>
      <c r="G7" s="15"/>
      <c r="H7" s="15"/>
    </row>
    <row r="9" customFormat="false" ht="21.75" hidden="false" customHeight="true" outlineLevel="0" collapsed="false">
      <c r="A9" s="16" t="s">
        <v>172</v>
      </c>
      <c r="B9" s="16" t="s">
        <v>604</v>
      </c>
      <c r="C9" s="16" t="s">
        <v>773</v>
      </c>
      <c r="D9" s="16" t="s">
        <v>175</v>
      </c>
      <c r="E9" s="16" t="s">
        <v>774</v>
      </c>
    </row>
    <row r="10" customFormat="false" ht="25.5" hidden="false" customHeight="true" outlineLevel="0" collapsed="false">
      <c r="A10" s="27" t="n">
        <v>1</v>
      </c>
      <c r="B10" s="28" t="s">
        <v>775</v>
      </c>
      <c r="C10" s="29" t="s">
        <v>178</v>
      </c>
      <c r="D10" s="29" t="s">
        <v>178</v>
      </c>
      <c r="E10" s="18"/>
    </row>
    <row r="11" customFormat="false" ht="25.5" hidden="false" customHeight="true" outlineLevel="0" collapsed="false">
      <c r="A11" s="27" t="n">
        <v>2</v>
      </c>
      <c r="B11" s="28" t="s">
        <v>776</v>
      </c>
      <c r="C11" s="29" t="s">
        <v>178</v>
      </c>
      <c r="D11" s="29" t="s">
        <v>178</v>
      </c>
      <c r="E11" s="18"/>
    </row>
    <row r="12" customFormat="false" ht="25.5" hidden="false" customHeight="true" outlineLevel="0" collapsed="false">
      <c r="A12" s="27" t="n">
        <v>3</v>
      </c>
      <c r="B12" s="28" t="s">
        <v>777</v>
      </c>
      <c r="C12" s="29" t="s">
        <v>178</v>
      </c>
      <c r="D12" s="29" t="s">
        <v>178</v>
      </c>
      <c r="E12" s="18"/>
    </row>
    <row r="13" customFormat="false" ht="25.5" hidden="false" customHeight="true" outlineLevel="0" collapsed="false">
      <c r="A13" s="27" t="n">
        <v>4</v>
      </c>
      <c r="B13" s="28" t="s">
        <v>778</v>
      </c>
      <c r="C13" s="29" t="s">
        <v>178</v>
      </c>
      <c r="D13" s="29" t="s">
        <v>178</v>
      </c>
      <c r="E13" s="18"/>
    </row>
    <row r="14" customFormat="false" ht="25.5" hidden="false" customHeight="true" outlineLevel="0" collapsed="false">
      <c r="A14" s="27" t="n">
        <v>5</v>
      </c>
      <c r="B14" s="28" t="s">
        <v>779</v>
      </c>
      <c r="C14" s="29" t="s">
        <v>178</v>
      </c>
      <c r="D14" s="29" t="s">
        <v>178</v>
      </c>
      <c r="E14" s="18"/>
    </row>
    <row r="15" customFormat="false" ht="25.5" hidden="false" customHeight="true" outlineLevel="0" collapsed="false">
      <c r="A15" s="27" t="n">
        <v>6</v>
      </c>
      <c r="B15" s="28" t="s">
        <v>780</v>
      </c>
      <c r="C15" s="29" t="s">
        <v>178</v>
      </c>
      <c r="D15" s="29" t="s">
        <v>178</v>
      </c>
      <c r="E15" s="18"/>
    </row>
    <row r="16" customFormat="false" ht="25.5" hidden="false" customHeight="true" outlineLevel="0" collapsed="false">
      <c r="A16" s="27" t="n">
        <v>7</v>
      </c>
      <c r="B16" s="28" t="s">
        <v>781</v>
      </c>
      <c r="C16" s="29" t="s">
        <v>178</v>
      </c>
      <c r="D16" s="29" t="s">
        <v>178</v>
      </c>
      <c r="E16" s="18"/>
    </row>
    <row r="18" customFormat="false" ht="15" hidden="false" customHeight="false" outlineLevel="0" collapsed="false">
      <c r="A18" s="30" t="s">
        <v>782</v>
      </c>
      <c r="B18" s="30"/>
      <c r="C18" s="30"/>
      <c r="D18" s="30"/>
      <c r="E18" s="30"/>
    </row>
    <row r="19" customFormat="false" ht="30" hidden="false" customHeight="true" outlineLevel="0" collapsed="false">
      <c r="A19" s="98" t="s">
        <v>783</v>
      </c>
      <c r="B19" s="98"/>
      <c r="C19" s="98"/>
      <c r="D19" s="98"/>
      <c r="E19" s="98"/>
    </row>
    <row r="21" customFormat="false" ht="15" hidden="false" customHeight="false" outlineLevel="0" collapsed="false">
      <c r="A21" s="24" t="s">
        <v>188</v>
      </c>
      <c r="B21" s="32" t="s">
        <v>21</v>
      </c>
      <c r="C21" s="33" t="s">
        <v>189</v>
      </c>
      <c r="D21" s="32" t="s">
        <v>190</v>
      </c>
      <c r="E21" s="24" t="s">
        <v>191</v>
      </c>
      <c r="F21" s="32" t="s">
        <v>19</v>
      </c>
      <c r="G21" s="33" t="s">
        <v>189</v>
      </c>
      <c r="H21" s="32" t="s">
        <v>190</v>
      </c>
    </row>
    <row r="22" customFormat="false" ht="15" hidden="false" customHeight="false" outlineLevel="0" collapsed="false">
      <c r="A22" s="24" t="s">
        <v>192</v>
      </c>
      <c r="B22" s="32" t="s">
        <v>17</v>
      </c>
      <c r="C22" s="33" t="s">
        <v>189</v>
      </c>
      <c r="D22" s="32" t="s">
        <v>190</v>
      </c>
    </row>
  </sheetData>
  <mergeCells count="8">
    <mergeCell ref="A1:H1"/>
    <mergeCell ref="A2:H2"/>
    <mergeCell ref="A4:H4"/>
    <mergeCell ref="A5:H5"/>
    <mergeCell ref="A6:G6"/>
    <mergeCell ref="A7:H7"/>
    <mergeCell ref="A18:E18"/>
    <mergeCell ref="A19:E19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10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784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785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786</v>
      </c>
      <c r="B7" s="15"/>
      <c r="C7" s="15"/>
      <c r="D7" s="15"/>
      <c r="E7" s="15"/>
      <c r="F7" s="15"/>
      <c r="G7" s="15"/>
      <c r="H7" s="15"/>
    </row>
    <row r="9" customFormat="false" ht="24" hidden="false" customHeight="true" outlineLevel="0" collapsed="false">
      <c r="A9" s="16" t="s">
        <v>172</v>
      </c>
      <c r="B9" s="16" t="s">
        <v>646</v>
      </c>
      <c r="C9" s="16" t="s">
        <v>787</v>
      </c>
      <c r="D9" s="16" t="s">
        <v>677</v>
      </c>
      <c r="E9" s="16" t="s">
        <v>788</v>
      </c>
      <c r="F9" s="16" t="s">
        <v>789</v>
      </c>
      <c r="G9" s="16" t="s">
        <v>35</v>
      </c>
    </row>
    <row r="10" customFormat="false" ht="27.75" hidden="false" customHeight="true" outlineLevel="0" collapsed="false">
      <c r="A10" s="27" t="s">
        <v>331</v>
      </c>
      <c r="B10" s="39" t="s">
        <v>790</v>
      </c>
      <c r="C10" s="28" t="s">
        <v>791</v>
      </c>
      <c r="D10" s="99" t="s">
        <v>792</v>
      </c>
      <c r="E10" s="72"/>
      <c r="F10" s="46" t="s">
        <v>793</v>
      </c>
      <c r="G10" s="49" t="s">
        <v>86</v>
      </c>
    </row>
    <row r="11" customFormat="false" ht="27.75" hidden="false" customHeight="true" outlineLevel="0" collapsed="false">
      <c r="A11" s="27" t="s">
        <v>280</v>
      </c>
      <c r="B11" s="39" t="s">
        <v>794</v>
      </c>
      <c r="C11" s="28" t="s">
        <v>795</v>
      </c>
      <c r="D11" s="23" t="s">
        <v>796</v>
      </c>
      <c r="E11" s="72"/>
      <c r="F11" s="46" t="s">
        <v>797</v>
      </c>
      <c r="G11" s="49" t="s">
        <v>89</v>
      </c>
    </row>
    <row r="12" customFormat="false" ht="27.75" hidden="false" customHeight="true" outlineLevel="0" collapsed="false">
      <c r="A12" s="27" t="s">
        <v>270</v>
      </c>
      <c r="B12" s="39" t="s">
        <v>798</v>
      </c>
      <c r="C12" s="28" t="s">
        <v>799</v>
      </c>
      <c r="D12" s="23" t="s">
        <v>796</v>
      </c>
      <c r="E12" s="72"/>
      <c r="F12" s="46" t="s">
        <v>797</v>
      </c>
      <c r="G12" s="49" t="s">
        <v>101</v>
      </c>
    </row>
    <row r="14" customFormat="false" ht="30" hidden="false" customHeight="true" outlineLevel="0" collapsed="false">
      <c r="A14" s="8" t="s">
        <v>800</v>
      </c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7" customFormat="false" ht="15" hidden="false" customHeight="false" outlineLevel="0" collapsed="false">
      <c r="A17" s="24" t="s">
        <v>188</v>
      </c>
      <c r="B17" s="32" t="s">
        <v>21</v>
      </c>
      <c r="C17" s="33" t="s">
        <v>189</v>
      </c>
      <c r="D17" s="32" t="s">
        <v>190</v>
      </c>
      <c r="E17" s="24" t="s">
        <v>191</v>
      </c>
      <c r="F17" s="32" t="s">
        <v>19</v>
      </c>
      <c r="G17" s="33" t="s">
        <v>189</v>
      </c>
      <c r="H17" s="32" t="s">
        <v>190</v>
      </c>
    </row>
    <row r="18" customFormat="false" ht="15" hidden="false" customHeight="false" outlineLevel="0" collapsed="false">
      <c r="A18" s="24" t="s">
        <v>192</v>
      </c>
      <c r="B18" s="32" t="s">
        <v>17</v>
      </c>
      <c r="C18" s="33" t="s">
        <v>189</v>
      </c>
      <c r="D18" s="32" t="s">
        <v>190</v>
      </c>
    </row>
  </sheetData>
  <mergeCells count="7">
    <mergeCell ref="A1:H1"/>
    <mergeCell ref="A2:H2"/>
    <mergeCell ref="A4:H4"/>
    <mergeCell ref="A5:H5"/>
    <mergeCell ref="A6:G6"/>
    <mergeCell ref="A7:H7"/>
    <mergeCell ref="A14:G15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</row>
    <row r="5" customFormat="false" ht="24" hidden="false" customHeight="true" outlineLevel="0" collapsed="false">
      <c r="A5" s="13" t="s">
        <v>801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802</v>
      </c>
      <c r="B6" s="14"/>
      <c r="C6" s="14"/>
      <c r="D6" s="14"/>
      <c r="E6" s="26" t="s">
        <v>170</v>
      </c>
    </row>
    <row r="7" customFormat="false" ht="15" hidden="false" customHeight="false" outlineLevel="0" collapsed="false">
      <c r="A7" s="15" t="s">
        <v>803</v>
      </c>
      <c r="B7" s="15"/>
      <c r="C7" s="15"/>
      <c r="D7" s="15"/>
      <c r="E7" s="15"/>
    </row>
    <row r="9" customFormat="false" ht="21.75" hidden="false" customHeight="true" outlineLevel="0" collapsed="false">
      <c r="A9" s="16" t="s">
        <v>172</v>
      </c>
      <c r="B9" s="16" t="s">
        <v>196</v>
      </c>
      <c r="C9" s="16" t="s">
        <v>197</v>
      </c>
      <c r="D9" s="16" t="s">
        <v>175</v>
      </c>
      <c r="E9" s="16" t="s">
        <v>198</v>
      </c>
    </row>
    <row r="10" customFormat="false" ht="25.5" hidden="false" customHeight="true" outlineLevel="0" collapsed="false">
      <c r="A10" s="27" t="n">
        <v>1</v>
      </c>
      <c r="B10" s="28" t="s">
        <v>804</v>
      </c>
      <c r="C10" s="29" t="s">
        <v>178</v>
      </c>
      <c r="D10" s="29" t="s">
        <v>178</v>
      </c>
      <c r="E10" s="18"/>
    </row>
    <row r="11" customFormat="false" ht="25.5" hidden="false" customHeight="true" outlineLevel="0" collapsed="false">
      <c r="A11" s="27" t="n">
        <v>2</v>
      </c>
      <c r="B11" s="28" t="s">
        <v>805</v>
      </c>
      <c r="C11" s="29" t="s">
        <v>178</v>
      </c>
      <c r="D11" s="29" t="s">
        <v>178</v>
      </c>
      <c r="E11" s="18"/>
    </row>
    <row r="12" customFormat="false" ht="25.5" hidden="false" customHeight="true" outlineLevel="0" collapsed="false">
      <c r="A12" s="27" t="n">
        <v>3</v>
      </c>
      <c r="B12" s="28" t="s">
        <v>806</v>
      </c>
      <c r="C12" s="29" t="s">
        <v>178</v>
      </c>
      <c r="D12" s="29" t="s">
        <v>178</v>
      </c>
      <c r="E12" s="18"/>
    </row>
    <row r="13" customFormat="false" ht="25.5" hidden="false" customHeight="true" outlineLevel="0" collapsed="false">
      <c r="A13" s="27" t="n">
        <v>4</v>
      </c>
      <c r="B13" s="28" t="s">
        <v>807</v>
      </c>
      <c r="C13" s="29" t="s">
        <v>178</v>
      </c>
      <c r="D13" s="29" t="s">
        <v>178</v>
      </c>
      <c r="E13" s="18"/>
    </row>
    <row r="14" customFormat="false" ht="25.5" hidden="false" customHeight="true" outlineLevel="0" collapsed="false">
      <c r="A14" s="27" t="n">
        <v>5</v>
      </c>
      <c r="B14" s="28" t="s">
        <v>808</v>
      </c>
      <c r="C14" s="29" t="s">
        <v>178</v>
      </c>
      <c r="D14" s="29" t="s">
        <v>178</v>
      </c>
      <c r="E14" s="18"/>
    </row>
    <row r="15" customFormat="false" ht="25.5" hidden="false" customHeight="true" outlineLevel="0" collapsed="false">
      <c r="A15" s="27" t="n">
        <v>6</v>
      </c>
      <c r="B15" s="28" t="s">
        <v>809</v>
      </c>
      <c r="C15" s="29" t="s">
        <v>178</v>
      </c>
      <c r="D15" s="29" t="s">
        <v>178</v>
      </c>
      <c r="E15" s="18"/>
    </row>
    <row r="16" customFormat="false" ht="25.5" hidden="false" customHeight="true" outlineLevel="0" collapsed="false">
      <c r="A16" s="27" t="n">
        <v>7</v>
      </c>
      <c r="B16" s="28" t="s">
        <v>810</v>
      </c>
      <c r="C16" s="29" t="s">
        <v>178</v>
      </c>
      <c r="D16" s="29" t="s">
        <v>178</v>
      </c>
      <c r="E16" s="18"/>
    </row>
    <row r="17" customFormat="false" ht="25.5" hidden="false" customHeight="true" outlineLevel="0" collapsed="false">
      <c r="A17" s="27" t="n">
        <v>8</v>
      </c>
      <c r="B17" s="28" t="s">
        <v>811</v>
      </c>
      <c r="C17" s="29" t="s">
        <v>178</v>
      </c>
      <c r="D17" s="29" t="s">
        <v>178</v>
      </c>
      <c r="E17" s="18"/>
    </row>
    <row r="18" customFormat="false" ht="25.5" hidden="false" customHeight="true" outlineLevel="0" collapsed="false">
      <c r="A18" s="27" t="n">
        <v>9</v>
      </c>
      <c r="B18" s="28" t="s">
        <v>812</v>
      </c>
      <c r="C18" s="29" t="s">
        <v>178</v>
      </c>
      <c r="D18" s="29" t="s">
        <v>178</v>
      </c>
      <c r="E18" s="18"/>
    </row>
    <row r="20" customFormat="false" ht="15" hidden="false" customHeight="false" outlineLevel="0" collapsed="false">
      <c r="A20" s="30" t="s">
        <v>207</v>
      </c>
      <c r="B20" s="30"/>
      <c r="C20" s="30"/>
      <c r="D20" s="30"/>
      <c r="E20" s="30"/>
    </row>
    <row r="21" customFormat="false" ht="31.5" hidden="false" customHeight="true" outlineLevel="0" collapsed="false">
      <c r="A21" s="34" t="s">
        <v>208</v>
      </c>
      <c r="B21" s="34"/>
      <c r="C21" s="34"/>
      <c r="D21" s="34"/>
      <c r="E21" s="34"/>
    </row>
    <row r="22" customFormat="false" ht="15" hidden="false" customHeight="false" outlineLevel="0" collapsed="false">
      <c r="A22" s="34"/>
      <c r="B22" s="34"/>
      <c r="C22" s="34"/>
      <c r="D22" s="34"/>
      <c r="E22" s="34"/>
    </row>
    <row r="24" customFormat="false" ht="15" hidden="false" customHeight="false" outlineLevel="0" collapsed="false">
      <c r="A24" s="24" t="s">
        <v>188</v>
      </c>
      <c r="B24" s="32" t="s">
        <v>21</v>
      </c>
      <c r="C24" s="33" t="s">
        <v>189</v>
      </c>
      <c r="D24" s="32" t="s">
        <v>190</v>
      </c>
      <c r="E24" s="24" t="s">
        <v>191</v>
      </c>
      <c r="F24" s="32" t="s">
        <v>19</v>
      </c>
      <c r="G24" s="33" t="s">
        <v>189</v>
      </c>
      <c r="H24" s="32" t="s">
        <v>190</v>
      </c>
    </row>
    <row r="25" customFormat="false" ht="15" hidden="false" customHeight="false" outlineLevel="0" collapsed="false">
      <c r="A25" s="24" t="s">
        <v>192</v>
      </c>
      <c r="B25" s="32" t="s">
        <v>17</v>
      </c>
      <c r="C25" s="33" t="s">
        <v>189</v>
      </c>
      <c r="D25" s="32" t="s">
        <v>190</v>
      </c>
    </row>
  </sheetData>
  <mergeCells count="8">
    <mergeCell ref="A1:E1"/>
    <mergeCell ref="A2:E2"/>
    <mergeCell ref="A4:E4"/>
    <mergeCell ref="A5:E5"/>
    <mergeCell ref="A6:D6"/>
    <mergeCell ref="A7:E7"/>
    <mergeCell ref="A20:E20"/>
    <mergeCell ref="A21:E22"/>
  </mergeCells>
  <hyperlinks>
    <hyperlink ref="E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</row>
    <row r="5" customFormat="false" ht="24" hidden="false" customHeight="true" outlineLevel="0" collapsed="false">
      <c r="A5" s="13" t="s">
        <v>813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814</v>
      </c>
      <c r="B6" s="14"/>
      <c r="C6" s="14"/>
      <c r="D6" s="14"/>
      <c r="E6" s="26" t="s">
        <v>170</v>
      </c>
    </row>
    <row r="7" customFormat="false" ht="15" hidden="false" customHeight="false" outlineLevel="0" collapsed="false">
      <c r="A7" s="15" t="s">
        <v>815</v>
      </c>
      <c r="B7" s="15"/>
      <c r="C7" s="15"/>
      <c r="D7" s="15"/>
      <c r="E7" s="15"/>
    </row>
    <row r="9" customFormat="false" ht="21.75" hidden="false" customHeight="true" outlineLevel="0" collapsed="false">
      <c r="A9" s="16" t="s">
        <v>172</v>
      </c>
      <c r="B9" s="16" t="s">
        <v>196</v>
      </c>
      <c r="C9" s="16" t="s">
        <v>197</v>
      </c>
      <c r="D9" s="16" t="s">
        <v>175</v>
      </c>
      <c r="E9" s="16" t="s">
        <v>198</v>
      </c>
    </row>
    <row r="10" customFormat="false" ht="25.5" hidden="false" customHeight="true" outlineLevel="0" collapsed="false">
      <c r="A10" s="27" t="n">
        <v>1</v>
      </c>
      <c r="B10" s="28" t="s">
        <v>816</v>
      </c>
      <c r="C10" s="29" t="s">
        <v>178</v>
      </c>
      <c r="D10" s="29" t="s">
        <v>178</v>
      </c>
      <c r="E10" s="18"/>
    </row>
    <row r="11" customFormat="false" ht="25.5" hidden="false" customHeight="true" outlineLevel="0" collapsed="false">
      <c r="A11" s="27" t="n">
        <v>2</v>
      </c>
      <c r="B11" s="28" t="s">
        <v>817</v>
      </c>
      <c r="C11" s="29" t="s">
        <v>178</v>
      </c>
      <c r="D11" s="29" t="s">
        <v>178</v>
      </c>
      <c r="E11" s="18"/>
    </row>
    <row r="12" customFormat="false" ht="25.5" hidden="false" customHeight="true" outlineLevel="0" collapsed="false">
      <c r="A12" s="27" t="n">
        <v>3</v>
      </c>
      <c r="B12" s="28" t="s">
        <v>818</v>
      </c>
      <c r="C12" s="29" t="s">
        <v>178</v>
      </c>
      <c r="D12" s="29" t="s">
        <v>178</v>
      </c>
      <c r="E12" s="18"/>
    </row>
    <row r="13" customFormat="false" ht="25.5" hidden="false" customHeight="true" outlineLevel="0" collapsed="false">
      <c r="A13" s="27" t="n">
        <v>4</v>
      </c>
      <c r="B13" s="28" t="s">
        <v>819</v>
      </c>
      <c r="C13" s="29" t="s">
        <v>178</v>
      </c>
      <c r="D13" s="29" t="s">
        <v>178</v>
      </c>
      <c r="E13" s="18"/>
    </row>
    <row r="14" customFormat="false" ht="25.5" hidden="false" customHeight="true" outlineLevel="0" collapsed="false">
      <c r="A14" s="27" t="n">
        <v>5</v>
      </c>
      <c r="B14" s="28" t="s">
        <v>820</v>
      </c>
      <c r="C14" s="29" t="s">
        <v>178</v>
      </c>
      <c r="D14" s="29" t="s">
        <v>178</v>
      </c>
      <c r="E14" s="18"/>
    </row>
    <row r="15" customFormat="false" ht="25.5" hidden="false" customHeight="true" outlineLevel="0" collapsed="false">
      <c r="A15" s="27" t="n">
        <v>6</v>
      </c>
      <c r="B15" s="28" t="s">
        <v>821</v>
      </c>
      <c r="C15" s="29" t="s">
        <v>178</v>
      </c>
      <c r="D15" s="29" t="s">
        <v>178</v>
      </c>
      <c r="E15" s="18"/>
    </row>
    <row r="17" customFormat="false" ht="15" hidden="false" customHeight="false" outlineLevel="0" collapsed="false">
      <c r="A17" s="30" t="s">
        <v>207</v>
      </c>
      <c r="B17" s="30"/>
      <c r="C17" s="30"/>
      <c r="D17" s="30"/>
      <c r="E17" s="30"/>
    </row>
    <row r="18" customFormat="false" ht="31.5" hidden="false" customHeight="true" outlineLevel="0" collapsed="false">
      <c r="A18" s="34" t="s">
        <v>208</v>
      </c>
      <c r="B18" s="34"/>
      <c r="C18" s="34"/>
      <c r="D18" s="34"/>
      <c r="E18" s="34"/>
    </row>
    <row r="19" customFormat="false" ht="15" hidden="false" customHeight="false" outlineLevel="0" collapsed="false">
      <c r="A19" s="34"/>
      <c r="B19" s="34"/>
      <c r="C19" s="34"/>
      <c r="D19" s="34"/>
      <c r="E19" s="34"/>
    </row>
    <row r="21" customFormat="false" ht="15" hidden="false" customHeight="false" outlineLevel="0" collapsed="false">
      <c r="A21" s="24" t="s">
        <v>188</v>
      </c>
      <c r="B21" s="32" t="s">
        <v>21</v>
      </c>
      <c r="C21" s="33" t="s">
        <v>189</v>
      </c>
      <c r="D21" s="32" t="s">
        <v>190</v>
      </c>
      <c r="E21" s="24" t="s">
        <v>191</v>
      </c>
      <c r="F21" s="32" t="s">
        <v>19</v>
      </c>
      <c r="G21" s="33" t="s">
        <v>189</v>
      </c>
      <c r="H21" s="32" t="s">
        <v>190</v>
      </c>
    </row>
    <row r="22" customFormat="false" ht="15" hidden="false" customHeight="false" outlineLevel="0" collapsed="false">
      <c r="A22" s="24" t="s">
        <v>192</v>
      </c>
      <c r="B22" s="32" t="s">
        <v>17</v>
      </c>
      <c r="C22" s="33" t="s">
        <v>189</v>
      </c>
      <c r="D22" s="32" t="s">
        <v>190</v>
      </c>
    </row>
  </sheetData>
  <mergeCells count="8">
    <mergeCell ref="A1:E1"/>
    <mergeCell ref="A2:E2"/>
    <mergeCell ref="A4:E4"/>
    <mergeCell ref="A5:E5"/>
    <mergeCell ref="A6:D6"/>
    <mergeCell ref="A7:E7"/>
    <mergeCell ref="A17:E17"/>
    <mergeCell ref="A18:E19"/>
  </mergeCells>
  <hyperlinks>
    <hyperlink ref="E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8" min="6" style="0" width="12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822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823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824</v>
      </c>
      <c r="B7" s="15"/>
      <c r="C7" s="15"/>
      <c r="D7" s="15"/>
      <c r="E7" s="15"/>
      <c r="F7" s="15"/>
      <c r="G7" s="15"/>
      <c r="H7" s="15"/>
    </row>
    <row r="9" customFormat="false" ht="15" hidden="false" customHeight="false" outlineLevel="0" collapsed="false">
      <c r="A9" s="30" t="s">
        <v>825</v>
      </c>
      <c r="B9" s="30"/>
      <c r="C9" s="30"/>
      <c r="D9" s="30"/>
    </row>
    <row r="10" customFormat="false" ht="15" hidden="false" customHeight="false" outlineLevel="0" collapsed="false">
      <c r="A10" s="100" t="s">
        <v>35</v>
      </c>
      <c r="B10" s="78" t="s">
        <v>250</v>
      </c>
      <c r="C10" s="100" t="s">
        <v>826</v>
      </c>
      <c r="D10" s="78" t="s">
        <v>827</v>
      </c>
    </row>
    <row r="11" customFormat="false" ht="15" hidden="false" customHeight="false" outlineLevel="0" collapsed="false">
      <c r="A11" s="27" t="s">
        <v>83</v>
      </c>
      <c r="B11" s="18" t="s">
        <v>84</v>
      </c>
      <c r="C11" s="101" t="s">
        <v>828</v>
      </c>
      <c r="D11" s="18"/>
    </row>
    <row r="12" customFormat="false" ht="15" hidden="false" customHeight="false" outlineLevel="0" collapsed="false">
      <c r="A12" s="27" t="s">
        <v>86</v>
      </c>
      <c r="B12" s="18" t="s">
        <v>87</v>
      </c>
      <c r="C12" s="101" t="s">
        <v>828</v>
      </c>
      <c r="D12" s="18"/>
    </row>
    <row r="13" customFormat="false" ht="15" hidden="false" customHeight="false" outlineLevel="0" collapsed="false">
      <c r="A13" s="27" t="s">
        <v>89</v>
      </c>
      <c r="B13" s="18" t="s">
        <v>90</v>
      </c>
      <c r="C13" s="101" t="s">
        <v>828</v>
      </c>
      <c r="D13" s="18"/>
    </row>
    <row r="14" customFormat="false" ht="15" hidden="false" customHeight="false" outlineLevel="0" collapsed="false">
      <c r="A14" s="27" t="s">
        <v>92</v>
      </c>
      <c r="B14" s="18" t="s">
        <v>93</v>
      </c>
      <c r="C14" s="101" t="s">
        <v>828</v>
      </c>
      <c r="D14" s="18"/>
    </row>
    <row r="15" customFormat="false" ht="15" hidden="false" customHeight="false" outlineLevel="0" collapsed="false">
      <c r="A15" s="27" t="s">
        <v>95</v>
      </c>
      <c r="B15" s="18" t="s">
        <v>829</v>
      </c>
      <c r="C15" s="101" t="s">
        <v>828</v>
      </c>
      <c r="D15" s="18"/>
    </row>
    <row r="16" customFormat="false" ht="15" hidden="false" customHeight="false" outlineLevel="0" collapsed="false">
      <c r="A16" s="27" t="s">
        <v>98</v>
      </c>
      <c r="B16" s="18" t="s">
        <v>99</v>
      </c>
      <c r="C16" s="101" t="s">
        <v>828</v>
      </c>
      <c r="D16" s="18"/>
    </row>
    <row r="17" customFormat="false" ht="15" hidden="false" customHeight="false" outlineLevel="0" collapsed="false">
      <c r="A17" s="27" t="s">
        <v>101</v>
      </c>
      <c r="B17" s="18" t="s">
        <v>102</v>
      </c>
      <c r="C17" s="101" t="s">
        <v>828</v>
      </c>
      <c r="D17" s="18"/>
    </row>
    <row r="18" customFormat="false" ht="15" hidden="false" customHeight="false" outlineLevel="0" collapsed="false">
      <c r="A18" s="27" t="s">
        <v>104</v>
      </c>
      <c r="B18" s="18" t="s">
        <v>105</v>
      </c>
      <c r="C18" s="101" t="s">
        <v>828</v>
      </c>
      <c r="D18" s="18"/>
    </row>
    <row r="19" customFormat="false" ht="15" hidden="false" customHeight="false" outlineLevel="0" collapsed="false">
      <c r="A19" s="27" t="s">
        <v>107</v>
      </c>
      <c r="B19" s="18" t="s">
        <v>108</v>
      </c>
      <c r="C19" s="101" t="s">
        <v>828</v>
      </c>
      <c r="D19" s="18"/>
    </row>
    <row r="20" customFormat="false" ht="15" hidden="false" customHeight="false" outlineLevel="0" collapsed="false">
      <c r="A20" s="27" t="s">
        <v>110</v>
      </c>
      <c r="B20" s="18" t="s">
        <v>111</v>
      </c>
      <c r="C20" s="101" t="s">
        <v>828</v>
      </c>
      <c r="D20" s="18"/>
    </row>
    <row r="21" customFormat="false" ht="15" hidden="false" customHeight="false" outlineLevel="0" collapsed="false">
      <c r="A21" s="27" t="s">
        <v>113</v>
      </c>
      <c r="B21" s="18" t="s">
        <v>114</v>
      </c>
      <c r="C21" s="101" t="s">
        <v>828</v>
      </c>
      <c r="D21" s="18"/>
    </row>
    <row r="23" customFormat="false" ht="15" hidden="false" customHeight="false" outlineLevel="0" collapsed="false">
      <c r="A23" s="30" t="s">
        <v>830</v>
      </c>
      <c r="B23" s="30"/>
      <c r="C23" s="30"/>
      <c r="D23" s="30"/>
    </row>
    <row r="24" customFormat="false" ht="25.5" hidden="false" customHeight="true" outlineLevel="0" collapsed="false">
      <c r="B24" s="102" t="s">
        <v>831</v>
      </c>
      <c r="C24" s="53" t="s">
        <v>832</v>
      </c>
      <c r="D24" s="53"/>
    </row>
    <row r="25" customFormat="false" ht="25.5" hidden="false" customHeight="true" outlineLevel="0" collapsed="false">
      <c r="B25" s="102" t="s">
        <v>833</v>
      </c>
      <c r="C25" s="53" t="s">
        <v>834</v>
      </c>
      <c r="D25" s="53"/>
    </row>
    <row r="26" customFormat="false" ht="25.5" hidden="false" customHeight="true" outlineLevel="0" collapsed="false">
      <c r="B26" s="102" t="s">
        <v>835</v>
      </c>
      <c r="C26" s="53" t="s">
        <v>836</v>
      </c>
      <c r="D26" s="53"/>
    </row>
    <row r="27" customFormat="false" ht="25.5" hidden="false" customHeight="true" outlineLevel="0" collapsed="false">
      <c r="B27" s="102" t="s">
        <v>837</v>
      </c>
      <c r="C27" s="53" t="s">
        <v>838</v>
      </c>
      <c r="D27" s="53"/>
    </row>
    <row r="28" customFormat="false" ht="25.5" hidden="false" customHeight="true" outlineLevel="0" collapsed="false">
      <c r="B28" s="102" t="s">
        <v>839</v>
      </c>
      <c r="C28" s="53" t="s">
        <v>840</v>
      </c>
      <c r="D28" s="53"/>
    </row>
    <row r="29" customFormat="false" ht="25.5" hidden="false" customHeight="true" outlineLevel="0" collapsed="false">
      <c r="B29" s="102" t="s">
        <v>841</v>
      </c>
      <c r="C29" s="53" t="s">
        <v>842</v>
      </c>
      <c r="D29" s="53"/>
    </row>
    <row r="30" customFormat="false" ht="25.5" hidden="false" customHeight="true" outlineLevel="0" collapsed="false">
      <c r="B30" s="102" t="s">
        <v>843</v>
      </c>
      <c r="C30" s="53" t="s">
        <v>844</v>
      </c>
      <c r="D30" s="53"/>
    </row>
    <row r="32" customFormat="false" ht="15" hidden="false" customHeight="false" outlineLevel="0" collapsed="false">
      <c r="A32" s="30" t="s">
        <v>845</v>
      </c>
      <c r="B32" s="30"/>
      <c r="C32" s="30"/>
      <c r="D32" s="30"/>
    </row>
    <row r="33" customFormat="false" ht="27.75" hidden="false" customHeight="true" outlineLevel="0" collapsed="false">
      <c r="A33" s="103" t="s">
        <v>846</v>
      </c>
      <c r="B33" s="103"/>
      <c r="C33" s="103"/>
      <c r="D33" s="103"/>
    </row>
    <row r="34" customFormat="false" ht="15" hidden="false" customHeight="false" outlineLevel="0" collapsed="false">
      <c r="A34" s="71" t="s">
        <v>847</v>
      </c>
      <c r="B34" s="71"/>
      <c r="C34" s="71"/>
      <c r="D34" s="71"/>
    </row>
    <row r="36" customFormat="false" ht="15" hidden="false" customHeight="false" outlineLevel="0" collapsed="false">
      <c r="A36" s="24" t="s">
        <v>188</v>
      </c>
      <c r="B36" s="32" t="s">
        <v>21</v>
      </c>
      <c r="C36" s="33" t="s">
        <v>189</v>
      </c>
      <c r="D36" s="32" t="s">
        <v>190</v>
      </c>
      <c r="E36" s="24" t="s">
        <v>191</v>
      </c>
      <c r="F36" s="32" t="s">
        <v>19</v>
      </c>
      <c r="G36" s="33" t="s">
        <v>189</v>
      </c>
      <c r="H36" s="32" t="s">
        <v>190</v>
      </c>
    </row>
    <row r="37" customFormat="false" ht="15" hidden="false" customHeight="false" outlineLevel="0" collapsed="false">
      <c r="A37" s="24" t="s">
        <v>192</v>
      </c>
      <c r="B37" s="32" t="s">
        <v>17</v>
      </c>
      <c r="C37" s="33" t="s">
        <v>189</v>
      </c>
      <c r="D37" s="32" t="s">
        <v>190</v>
      </c>
    </row>
  </sheetData>
  <mergeCells count="18">
    <mergeCell ref="A1:H1"/>
    <mergeCell ref="A2:H2"/>
    <mergeCell ref="A4:H4"/>
    <mergeCell ref="A5:H5"/>
    <mergeCell ref="A6:G6"/>
    <mergeCell ref="A7:H7"/>
    <mergeCell ref="A9:D9"/>
    <mergeCell ref="A23:D23"/>
    <mergeCell ref="C24:D24"/>
    <mergeCell ref="C25:D25"/>
    <mergeCell ref="C26:D26"/>
    <mergeCell ref="C27:D27"/>
    <mergeCell ref="C28:D28"/>
    <mergeCell ref="C29:D29"/>
    <mergeCell ref="C30:D30"/>
    <mergeCell ref="A32:D32"/>
    <mergeCell ref="A33:D33"/>
    <mergeCell ref="A34:D34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</row>
    <row r="5" customFormat="false" ht="24" hidden="false" customHeight="true" outlineLevel="0" collapsed="false">
      <c r="A5" s="13" t="s">
        <v>848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849</v>
      </c>
      <c r="B6" s="14"/>
      <c r="C6" s="14"/>
      <c r="D6" s="14"/>
      <c r="E6" s="26" t="s">
        <v>170</v>
      </c>
    </row>
    <row r="7" customFormat="false" ht="15" hidden="false" customHeight="false" outlineLevel="0" collapsed="false">
      <c r="A7" s="15" t="s">
        <v>850</v>
      </c>
      <c r="B7" s="15"/>
      <c r="C7" s="15"/>
      <c r="D7" s="15"/>
      <c r="E7" s="15"/>
    </row>
    <row r="9" customFormat="false" ht="21.75" hidden="false" customHeight="true" outlineLevel="0" collapsed="false">
      <c r="A9" s="16" t="s">
        <v>172</v>
      </c>
      <c r="B9" s="16" t="s">
        <v>196</v>
      </c>
      <c r="C9" s="16" t="s">
        <v>197</v>
      </c>
      <c r="D9" s="16" t="s">
        <v>175</v>
      </c>
      <c r="E9" s="16" t="s">
        <v>198</v>
      </c>
    </row>
    <row r="10" customFormat="false" ht="25.5" hidden="false" customHeight="true" outlineLevel="0" collapsed="false">
      <c r="A10" s="27" t="n">
        <v>1</v>
      </c>
      <c r="B10" s="28" t="s">
        <v>851</v>
      </c>
      <c r="C10" s="29" t="s">
        <v>178</v>
      </c>
      <c r="D10" s="29" t="s">
        <v>178</v>
      </c>
      <c r="E10" s="18"/>
    </row>
    <row r="11" customFormat="false" ht="25.5" hidden="false" customHeight="true" outlineLevel="0" collapsed="false">
      <c r="A11" s="27" t="n">
        <v>2</v>
      </c>
      <c r="B11" s="28" t="s">
        <v>852</v>
      </c>
      <c r="C11" s="29" t="s">
        <v>178</v>
      </c>
      <c r="D11" s="29" t="s">
        <v>178</v>
      </c>
      <c r="E11" s="18"/>
    </row>
    <row r="12" customFormat="false" ht="25.5" hidden="false" customHeight="true" outlineLevel="0" collapsed="false">
      <c r="A12" s="27" t="n">
        <v>3</v>
      </c>
      <c r="B12" s="28" t="s">
        <v>853</v>
      </c>
      <c r="C12" s="29" t="s">
        <v>178</v>
      </c>
      <c r="D12" s="29" t="s">
        <v>178</v>
      </c>
      <c r="E12" s="18"/>
    </row>
    <row r="13" customFormat="false" ht="25.5" hidden="false" customHeight="true" outlineLevel="0" collapsed="false">
      <c r="A13" s="27" t="n">
        <v>4</v>
      </c>
      <c r="B13" s="28" t="s">
        <v>854</v>
      </c>
      <c r="C13" s="29" t="s">
        <v>178</v>
      </c>
      <c r="D13" s="29" t="s">
        <v>178</v>
      </c>
      <c r="E13" s="18"/>
    </row>
    <row r="14" customFormat="false" ht="25.5" hidden="false" customHeight="true" outlineLevel="0" collapsed="false">
      <c r="A14" s="27" t="n">
        <v>5</v>
      </c>
      <c r="B14" s="28" t="s">
        <v>855</v>
      </c>
      <c r="C14" s="29" t="s">
        <v>178</v>
      </c>
      <c r="D14" s="29" t="s">
        <v>178</v>
      </c>
      <c r="E14" s="18"/>
    </row>
    <row r="16" customFormat="false" ht="15" hidden="false" customHeight="false" outlineLevel="0" collapsed="false">
      <c r="A16" s="30" t="s">
        <v>207</v>
      </c>
      <c r="B16" s="30"/>
      <c r="C16" s="30"/>
      <c r="D16" s="30"/>
      <c r="E16" s="30"/>
    </row>
    <row r="17" customFormat="false" ht="31.5" hidden="false" customHeight="true" outlineLevel="0" collapsed="false">
      <c r="A17" s="34" t="s">
        <v>208</v>
      </c>
      <c r="B17" s="34"/>
      <c r="C17" s="34"/>
      <c r="D17" s="34"/>
      <c r="E17" s="34"/>
    </row>
    <row r="18" customFormat="false" ht="15" hidden="false" customHeight="false" outlineLevel="0" collapsed="false">
      <c r="A18" s="34"/>
      <c r="B18" s="34"/>
      <c r="C18" s="34"/>
      <c r="D18" s="34"/>
      <c r="E18" s="34"/>
    </row>
    <row r="20" customFormat="false" ht="15" hidden="false" customHeight="false" outlineLevel="0" collapsed="false">
      <c r="A20" s="24" t="s">
        <v>188</v>
      </c>
      <c r="B20" s="32" t="s">
        <v>21</v>
      </c>
      <c r="C20" s="33" t="s">
        <v>189</v>
      </c>
      <c r="D20" s="32" t="s">
        <v>190</v>
      </c>
      <c r="E20" s="24" t="s">
        <v>191</v>
      </c>
      <c r="F20" s="32" t="s">
        <v>19</v>
      </c>
      <c r="G20" s="33" t="s">
        <v>189</v>
      </c>
      <c r="H20" s="32" t="s">
        <v>190</v>
      </c>
    </row>
    <row r="21" customFormat="false" ht="15" hidden="false" customHeight="false" outlineLevel="0" collapsed="false">
      <c r="A21" s="24" t="s">
        <v>192</v>
      </c>
      <c r="B21" s="32" t="s">
        <v>17</v>
      </c>
      <c r="C21" s="33" t="s">
        <v>189</v>
      </c>
      <c r="D21" s="32" t="s">
        <v>190</v>
      </c>
    </row>
  </sheetData>
  <mergeCells count="8">
    <mergeCell ref="A1:E1"/>
    <mergeCell ref="A2:E2"/>
    <mergeCell ref="A4:E4"/>
    <mergeCell ref="A5:E5"/>
    <mergeCell ref="A6:D6"/>
    <mergeCell ref="A7:E7"/>
    <mergeCell ref="A16:E16"/>
    <mergeCell ref="A17:E18"/>
  </mergeCells>
  <hyperlinks>
    <hyperlink ref="E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8" min="4" style="0" width="12"/>
  </cols>
  <sheetData>
    <row r="1" customFormat="false" ht="33.75" hidden="false" customHeight="true" outlineLevel="0" collapsed="false">
      <c r="A1" s="10" t="s">
        <v>0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30</v>
      </c>
      <c r="B2" s="11"/>
      <c r="C2" s="11"/>
      <c r="D2" s="11"/>
      <c r="E2" s="11"/>
      <c r="F2" s="11"/>
      <c r="G2" s="11"/>
      <c r="H2" s="11"/>
    </row>
    <row r="3" customFormat="false" ht="6" hidden="false" customHeight="true" outlineLevel="0" collapsed="false"/>
    <row r="4" customFormat="false" ht="15" hidden="false" customHeight="false" outlineLevel="0" collapsed="false">
      <c r="A4" s="12" t="s">
        <v>31</v>
      </c>
      <c r="B4" s="12"/>
      <c r="C4" s="12"/>
      <c r="D4" s="12"/>
      <c r="E4" s="12"/>
      <c r="F4" s="12"/>
      <c r="G4" s="12"/>
      <c r="H4" s="12"/>
    </row>
    <row r="5" customFormat="false" ht="24" hidden="false" customHeight="true" outlineLevel="0" collapsed="false">
      <c r="A5" s="13" t="s">
        <v>856</v>
      </c>
      <c r="B5" s="13"/>
      <c r="C5" s="13"/>
      <c r="D5" s="13"/>
      <c r="E5" s="13"/>
      <c r="F5" s="13"/>
      <c r="G5" s="13"/>
      <c r="H5" s="13"/>
    </row>
    <row r="6" customFormat="false" ht="15" hidden="false" customHeight="false" outlineLevel="0" collapsed="false">
      <c r="A6" s="14" t="s">
        <v>857</v>
      </c>
      <c r="B6" s="14"/>
      <c r="C6" s="14"/>
      <c r="D6" s="14"/>
      <c r="E6" s="14"/>
      <c r="F6" s="14"/>
      <c r="G6" s="14"/>
      <c r="H6" s="26" t="s">
        <v>170</v>
      </c>
    </row>
    <row r="7" customFormat="false" ht="15" hidden="false" customHeight="false" outlineLevel="0" collapsed="false">
      <c r="A7" s="15" t="s">
        <v>858</v>
      </c>
      <c r="B7" s="15"/>
      <c r="C7" s="15"/>
      <c r="D7" s="15"/>
      <c r="E7" s="15"/>
      <c r="F7" s="15"/>
      <c r="G7" s="15"/>
      <c r="H7" s="15"/>
    </row>
    <row r="9" customFormat="false" ht="15" hidden="false" customHeight="false" outlineLevel="0" collapsed="false">
      <c r="A9" s="16" t="s">
        <v>37</v>
      </c>
      <c r="B9" s="16" t="s">
        <v>859</v>
      </c>
      <c r="C9" s="16" t="s">
        <v>860</v>
      </c>
    </row>
    <row r="10" customFormat="false" ht="43.5" hidden="false" customHeight="true" outlineLevel="0" collapsed="false">
      <c r="A10" s="37" t="s">
        <v>861</v>
      </c>
      <c r="B10" s="102" t="s">
        <v>862</v>
      </c>
      <c r="C10" s="28" t="s">
        <v>863</v>
      </c>
    </row>
    <row r="11" customFormat="false" ht="43.5" hidden="false" customHeight="true" outlineLevel="0" collapsed="false">
      <c r="A11" s="37" t="s">
        <v>864</v>
      </c>
      <c r="B11" s="102" t="s">
        <v>865</v>
      </c>
      <c r="C11" s="28" t="s">
        <v>866</v>
      </c>
    </row>
    <row r="12" customFormat="false" ht="43.5" hidden="false" customHeight="true" outlineLevel="0" collapsed="false">
      <c r="A12" s="37" t="s">
        <v>867</v>
      </c>
      <c r="B12" s="102" t="s">
        <v>868</v>
      </c>
      <c r="C12" s="28" t="s">
        <v>869</v>
      </c>
    </row>
    <row r="13" customFormat="false" ht="43.5" hidden="false" customHeight="true" outlineLevel="0" collapsed="false">
      <c r="A13" s="37" t="s">
        <v>870</v>
      </c>
      <c r="B13" s="102" t="s">
        <v>871</v>
      </c>
      <c r="C13" s="28" t="s">
        <v>872</v>
      </c>
    </row>
    <row r="14" customFormat="false" ht="43.5" hidden="false" customHeight="true" outlineLevel="0" collapsed="false">
      <c r="A14" s="37" t="s">
        <v>873</v>
      </c>
      <c r="B14" s="102" t="s">
        <v>874</v>
      </c>
      <c r="C14" s="28" t="s">
        <v>875</v>
      </c>
    </row>
    <row r="15" customFormat="false" ht="43.5" hidden="false" customHeight="true" outlineLevel="0" collapsed="false">
      <c r="A15" s="37" t="s">
        <v>876</v>
      </c>
      <c r="B15" s="102" t="s">
        <v>877</v>
      </c>
      <c r="C15" s="28" t="s">
        <v>878</v>
      </c>
    </row>
    <row r="17" customFormat="false" ht="39.75" hidden="false" customHeight="true" outlineLevel="0" collapsed="false">
      <c r="A17" s="104" t="s">
        <v>879</v>
      </c>
      <c r="B17" s="104"/>
      <c r="C17" s="104"/>
    </row>
  </sheetData>
  <mergeCells count="7">
    <mergeCell ref="A1:H1"/>
    <mergeCell ref="A2:H2"/>
    <mergeCell ref="A4:H4"/>
    <mergeCell ref="A5:H5"/>
    <mergeCell ref="A6:G6"/>
    <mergeCell ref="A7:H7"/>
    <mergeCell ref="A17:C17"/>
  </mergeCells>
  <hyperlinks>
    <hyperlink ref="H6" r:id="rId1" location="'INDEX%20KKA'!A1" display="↩ 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2026-07-09T04:04:10Z</dcterms:created>
  <dc:creator>openpyxl</dc:creator>
  <dc:description/>
  <dc:language>en-US</dc:language>
  <cp:lastModifiedBy/>
  <dcterms:modified xsi:type="dcterms:W3CDTF">2026-07-09T04:04:11Z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